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RK" sheetId="1" r:id="rId5"/>
    <sheet state="visible" name="LIGHT" sheetId="2" r:id="rId6"/>
  </sheets>
  <definedNames/>
  <calcPr/>
</workbook>
</file>

<file path=xl/sharedStrings.xml><?xml version="1.0" encoding="utf-8"?>
<sst xmlns="http://schemas.openxmlformats.org/spreadsheetml/2006/main" count="272" uniqueCount="21">
  <si>
    <t>Date</t>
  </si>
  <si>
    <t>Round</t>
  </si>
  <si>
    <t>Titrator</t>
  </si>
  <si>
    <t>Zub #</t>
  </si>
  <si>
    <t>Sample Volume</t>
  </si>
  <si>
    <t>Replicate</t>
  </si>
  <si>
    <t>Mass</t>
  </si>
  <si>
    <t>Temperature</t>
  </si>
  <si>
    <t>Alk (Setting should be Alk3)</t>
  </si>
  <si>
    <t>Best 2 avergae</t>
  </si>
  <si>
    <t>Notes</t>
  </si>
  <si>
    <t>B</t>
  </si>
  <si>
    <t>CRM</t>
  </si>
  <si>
    <t>batch -224, should be reading 2235.50</t>
  </si>
  <si>
    <t>hmmm seems like the temp probe is stuck at 25</t>
  </si>
  <si>
    <t>missed</t>
  </si>
  <si>
    <t>a lot of volume?</t>
  </si>
  <si>
    <t>Best two average</t>
  </si>
  <si>
    <t xml:space="preserve">Notes </t>
  </si>
  <si>
    <t xml:space="preserve">wrong weight </t>
  </si>
  <si>
    <t>running a really long time - wonky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</si>
</sst>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yyyy-mm-d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readingOrder="0"/>
    </xf>
    <xf borderId="0" fillId="2" fontId="3" numFmtId="164" xfId="0" applyAlignment="1" applyFill="1" applyFont="1" applyNumberFormat="1">
      <alignment horizontal="right" readingOrder="0"/>
    </xf>
    <xf borderId="0" fillId="0" fontId="2" numFmtId="0" xfId="0" applyFont="1"/>
    <xf borderId="0" fillId="0" fontId="2" numFmtId="164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 vertical="bottom"/>
    </xf>
    <xf borderId="0" fillId="0" fontId="2" numFmtId="164" xfId="0" applyFont="1" applyNumberFormat="1"/>
    <xf borderId="0" fillId="0" fontId="5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165" xfId="0" applyAlignment="1" applyBorder="1" applyFont="1" applyNumberFormat="1">
      <alignment readingOrder="0"/>
    </xf>
    <xf borderId="2" fillId="0" fontId="2" numFmtId="0" xfId="0" applyBorder="1" applyFont="1"/>
    <xf borderId="0" fillId="0" fontId="6" numFmtId="0" xfId="0" applyFont="1"/>
    <xf borderId="0" fillId="0" fontId="2" numFmtId="165" xfId="0" applyFont="1" applyNumberFormat="1"/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 readingOrder="0" shrinkToFit="0" wrapText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8.75"/>
    <col customWidth="1" min="9" max="9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>
        <v>46145.0</v>
      </c>
      <c r="B2" s="6">
        <v>1.0</v>
      </c>
      <c r="C2" s="6" t="s">
        <v>11</v>
      </c>
      <c r="D2" s="6" t="s">
        <v>12</v>
      </c>
      <c r="F2" s="6">
        <v>1.0</v>
      </c>
      <c r="G2" s="7">
        <v>59.151</v>
      </c>
      <c r="H2" s="8"/>
      <c r="I2" s="6">
        <v>2233.9</v>
      </c>
      <c r="K2" s="6" t="s">
        <v>13</v>
      </c>
    </row>
    <row r="3">
      <c r="A3" s="5">
        <v>46145.0</v>
      </c>
      <c r="B3" s="6">
        <v>1.0</v>
      </c>
      <c r="C3" s="6" t="s">
        <v>11</v>
      </c>
      <c r="D3" s="6" t="s">
        <v>12</v>
      </c>
      <c r="F3" s="6">
        <v>2.0</v>
      </c>
      <c r="G3" s="9">
        <v>60.47</v>
      </c>
      <c r="H3" s="8"/>
      <c r="I3" s="6">
        <v>2228.2</v>
      </c>
    </row>
    <row r="4">
      <c r="A4" s="5">
        <v>46145.0</v>
      </c>
      <c r="B4" s="6">
        <v>1.0</v>
      </c>
      <c r="C4" s="6" t="s">
        <v>11</v>
      </c>
      <c r="D4" s="6" t="s">
        <v>12</v>
      </c>
      <c r="F4" s="6">
        <v>3.0</v>
      </c>
      <c r="G4" s="9">
        <v>60.361</v>
      </c>
      <c r="H4" s="8">
        <v>25.0</v>
      </c>
      <c r="I4" s="6">
        <v>2234.6</v>
      </c>
      <c r="J4" s="10">
        <f>average(I2,I4)</f>
        <v>2234.25</v>
      </c>
      <c r="K4" s="6" t="s">
        <v>14</v>
      </c>
    </row>
    <row r="5">
      <c r="A5" s="5">
        <v>46145.0</v>
      </c>
      <c r="B5" s="6">
        <v>1.0</v>
      </c>
      <c r="C5" s="6" t="s">
        <v>11</v>
      </c>
      <c r="D5" s="1">
        <v>1.0</v>
      </c>
      <c r="F5" s="6">
        <v>1.0</v>
      </c>
      <c r="G5" s="11">
        <v>60.159</v>
      </c>
      <c r="H5" s="8">
        <v>25.0</v>
      </c>
      <c r="I5" s="6">
        <v>2177.5</v>
      </c>
    </row>
    <row r="6">
      <c r="A6" s="5">
        <v>46145.0</v>
      </c>
      <c r="B6" s="6">
        <v>1.0</v>
      </c>
      <c r="C6" s="6" t="s">
        <v>11</v>
      </c>
      <c r="D6" s="1">
        <v>1.0</v>
      </c>
      <c r="F6" s="6">
        <v>2.0</v>
      </c>
      <c r="G6" s="11">
        <v>60.111</v>
      </c>
      <c r="H6" s="8">
        <v>25.0</v>
      </c>
      <c r="I6" s="6">
        <v>2194.0</v>
      </c>
    </row>
    <row r="7">
      <c r="A7" s="5">
        <v>46145.0</v>
      </c>
      <c r="B7" s="6">
        <v>1.0</v>
      </c>
      <c r="C7" s="6" t="s">
        <v>11</v>
      </c>
      <c r="D7" s="1">
        <v>1.0</v>
      </c>
      <c r="F7" s="6">
        <v>3.0</v>
      </c>
      <c r="G7" s="11">
        <v>60.306</v>
      </c>
      <c r="H7" s="8"/>
      <c r="I7" s="6">
        <v>2195.0</v>
      </c>
      <c r="J7" s="10">
        <f>average(I6:I7)</f>
        <v>2194.5</v>
      </c>
    </row>
    <row r="8">
      <c r="A8" s="5">
        <v>46145.0</v>
      </c>
      <c r="B8" s="6">
        <v>1.0</v>
      </c>
      <c r="C8" s="6" t="s">
        <v>11</v>
      </c>
      <c r="D8" s="6">
        <v>2.0</v>
      </c>
      <c r="F8" s="6">
        <v>1.0</v>
      </c>
      <c r="G8" s="11">
        <v>60.302</v>
      </c>
      <c r="H8" s="8"/>
      <c r="I8" s="6">
        <v>2189.9</v>
      </c>
    </row>
    <row r="9">
      <c r="A9" s="5">
        <v>46145.0</v>
      </c>
      <c r="B9" s="6">
        <v>1.0</v>
      </c>
      <c r="C9" s="6" t="s">
        <v>11</v>
      </c>
      <c r="D9" s="6">
        <v>2.0</v>
      </c>
      <c r="F9" s="6">
        <v>2.0</v>
      </c>
      <c r="G9" s="11">
        <v>60.0435</v>
      </c>
      <c r="H9" s="8"/>
      <c r="I9" s="6">
        <v>2199.4</v>
      </c>
    </row>
    <row r="10">
      <c r="A10" s="5">
        <v>46145.0</v>
      </c>
      <c r="B10" s="6">
        <v>1.0</v>
      </c>
      <c r="C10" s="6" t="s">
        <v>11</v>
      </c>
      <c r="D10" s="6">
        <v>2.0</v>
      </c>
      <c r="E10" s="10">
        <f>55.726+180</f>
        <v>235.726</v>
      </c>
      <c r="F10" s="6">
        <v>3.0</v>
      </c>
      <c r="G10" s="11">
        <v>60.665</v>
      </c>
      <c r="H10" s="8"/>
      <c r="I10" s="6">
        <v>2192.2</v>
      </c>
      <c r="J10" s="10">
        <f>average(I9:I10)</f>
        <v>2195.8</v>
      </c>
    </row>
    <row r="11">
      <c r="A11" s="5">
        <v>46145.0</v>
      </c>
      <c r="B11" s="6">
        <v>1.0</v>
      </c>
      <c r="C11" s="6" t="s">
        <v>11</v>
      </c>
      <c r="D11" s="6">
        <v>3.0</v>
      </c>
      <c r="E11" s="10">
        <f>53.149+180</f>
        <v>233.149</v>
      </c>
      <c r="F11" s="6">
        <v>1.0</v>
      </c>
      <c r="G11" s="11">
        <v>60.068</v>
      </c>
      <c r="H11" s="8"/>
      <c r="I11" s="6">
        <v>2211.1</v>
      </c>
    </row>
    <row r="12">
      <c r="A12" s="5">
        <v>46145.0</v>
      </c>
      <c r="B12" s="6">
        <v>1.0</v>
      </c>
      <c r="C12" s="6" t="s">
        <v>11</v>
      </c>
      <c r="D12" s="6">
        <v>3.0</v>
      </c>
      <c r="F12" s="6">
        <v>2.0</v>
      </c>
      <c r="G12" s="11">
        <v>60.023</v>
      </c>
      <c r="H12" s="8"/>
      <c r="I12" s="6">
        <v>2213.2</v>
      </c>
      <c r="J12" s="10">
        <f>average(I11:I12)</f>
        <v>2212.15</v>
      </c>
    </row>
    <row r="13">
      <c r="A13" s="5"/>
      <c r="G13" s="9"/>
      <c r="H13" s="8"/>
    </row>
    <row r="14">
      <c r="A14" s="5">
        <v>46145.0</v>
      </c>
      <c r="B14" s="6">
        <v>1.0</v>
      </c>
      <c r="C14" s="6" t="s">
        <v>11</v>
      </c>
      <c r="D14" s="6">
        <v>4.0</v>
      </c>
      <c r="E14" s="10">
        <f>47.662+180</f>
        <v>227.662</v>
      </c>
      <c r="F14" s="6">
        <v>1.0</v>
      </c>
      <c r="G14" s="11">
        <v>60.042</v>
      </c>
      <c r="H14" s="8"/>
      <c r="I14" s="6">
        <v>2223.6</v>
      </c>
    </row>
    <row r="15">
      <c r="A15" s="5">
        <v>46145.0</v>
      </c>
      <c r="B15" s="6">
        <v>1.0</v>
      </c>
      <c r="C15" s="6" t="s">
        <v>11</v>
      </c>
      <c r="D15" s="6">
        <v>4.0</v>
      </c>
      <c r="F15" s="6">
        <v>2.0</v>
      </c>
      <c r="G15" s="11">
        <v>60.009</v>
      </c>
      <c r="H15" s="8"/>
      <c r="I15" s="6">
        <v>2223.2</v>
      </c>
      <c r="J15" s="10">
        <f>average(I14:I15)</f>
        <v>2223.4</v>
      </c>
    </row>
    <row r="16">
      <c r="A16" s="5"/>
      <c r="G16" s="11"/>
      <c r="H16" s="8"/>
    </row>
    <row r="17">
      <c r="A17" s="5">
        <v>46145.0</v>
      </c>
      <c r="B17" s="6">
        <v>1.0</v>
      </c>
      <c r="C17" s="6" t="s">
        <v>11</v>
      </c>
      <c r="D17" s="6">
        <v>5.0</v>
      </c>
      <c r="E17" s="10">
        <f>55.852+180</f>
        <v>235.852</v>
      </c>
      <c r="F17" s="6">
        <v>1.0</v>
      </c>
      <c r="G17" s="11">
        <v>60.043</v>
      </c>
      <c r="H17" s="8"/>
      <c r="I17" s="6">
        <v>2196.4</v>
      </c>
    </row>
    <row r="18">
      <c r="A18" s="5">
        <v>46145.0</v>
      </c>
      <c r="B18" s="6">
        <v>1.0</v>
      </c>
      <c r="C18" s="6" t="s">
        <v>11</v>
      </c>
      <c r="D18" s="6">
        <v>5.0</v>
      </c>
      <c r="F18" s="6">
        <v>2.0</v>
      </c>
      <c r="G18" s="11">
        <v>60.066</v>
      </c>
      <c r="H18" s="8"/>
      <c r="I18" s="6">
        <v>2212.3</v>
      </c>
    </row>
    <row r="19">
      <c r="A19" s="5">
        <v>46145.0</v>
      </c>
      <c r="B19" s="6">
        <v>1.0</v>
      </c>
      <c r="C19" s="6" t="s">
        <v>11</v>
      </c>
      <c r="D19" s="6">
        <v>5.0</v>
      </c>
      <c r="F19" s="6">
        <v>3.0</v>
      </c>
      <c r="G19" s="11">
        <v>60.033</v>
      </c>
      <c r="H19" s="8"/>
      <c r="I19" s="6">
        <v>2194.4</v>
      </c>
      <c r="J19" s="10">
        <f>average(I17,I19)</f>
        <v>2195.4</v>
      </c>
    </row>
    <row r="20">
      <c r="A20" s="5">
        <v>46145.0</v>
      </c>
      <c r="B20" s="6">
        <v>1.0</v>
      </c>
      <c r="C20" s="6" t="s">
        <v>11</v>
      </c>
      <c r="D20" s="6">
        <v>6.0</v>
      </c>
      <c r="E20" s="10">
        <f>49.429+180</f>
        <v>229.429</v>
      </c>
      <c r="F20" s="6">
        <v>1.0</v>
      </c>
      <c r="G20" s="11">
        <v>60.006</v>
      </c>
      <c r="H20" s="8"/>
      <c r="I20" s="6">
        <v>2186.5</v>
      </c>
    </row>
    <row r="21">
      <c r="A21" s="5">
        <v>46145.0</v>
      </c>
      <c r="B21" s="6">
        <v>1.0</v>
      </c>
      <c r="C21" s="6" t="s">
        <v>11</v>
      </c>
      <c r="D21" s="6">
        <v>6.0</v>
      </c>
      <c r="F21" s="6">
        <v>2.0</v>
      </c>
      <c r="G21" s="11">
        <v>60.023</v>
      </c>
      <c r="H21" s="8"/>
      <c r="I21" s="6">
        <v>2176.8</v>
      </c>
    </row>
    <row r="22">
      <c r="A22" s="5">
        <v>46145.0</v>
      </c>
      <c r="B22" s="6">
        <v>1.0</v>
      </c>
      <c r="C22" s="6" t="s">
        <v>11</v>
      </c>
      <c r="D22" s="6">
        <v>6.0</v>
      </c>
      <c r="F22" s="6">
        <v>3.0</v>
      </c>
      <c r="G22" s="11">
        <v>60.069</v>
      </c>
      <c r="H22" s="8"/>
      <c r="I22" s="6">
        <v>2180.6</v>
      </c>
      <c r="J22" s="10">
        <f>average(I21:I22)</f>
        <v>2178.7</v>
      </c>
    </row>
    <row r="23">
      <c r="A23" s="5">
        <v>46145.0</v>
      </c>
      <c r="B23" s="6">
        <v>1.0</v>
      </c>
      <c r="C23" s="6" t="s">
        <v>11</v>
      </c>
      <c r="D23" s="6">
        <v>7.0</v>
      </c>
      <c r="E23" s="10">
        <f>45.339+180</f>
        <v>225.339</v>
      </c>
      <c r="F23" s="6">
        <v>1.0</v>
      </c>
      <c r="G23" s="11">
        <v>60.062</v>
      </c>
      <c r="H23" s="8"/>
      <c r="I23" s="6">
        <v>2207.9</v>
      </c>
    </row>
    <row r="24">
      <c r="A24" s="5">
        <v>46145.0</v>
      </c>
      <c r="B24" s="6">
        <v>1.0</v>
      </c>
      <c r="C24" s="6" t="s">
        <v>11</v>
      </c>
      <c r="D24" s="6">
        <v>7.0</v>
      </c>
      <c r="F24" s="6">
        <v>2.0</v>
      </c>
      <c r="G24" s="11">
        <v>60.082</v>
      </c>
      <c r="H24" s="8"/>
      <c r="I24" s="6">
        <v>2208.4</v>
      </c>
      <c r="J24" s="10">
        <f>average(I23:I24)</f>
        <v>2208.15</v>
      </c>
    </row>
    <row r="25">
      <c r="A25" s="5"/>
      <c r="G25" s="11"/>
      <c r="H25" s="8"/>
    </row>
    <row r="26">
      <c r="A26" s="5">
        <v>46145.0</v>
      </c>
      <c r="B26" s="6">
        <v>1.0</v>
      </c>
      <c r="C26" s="6" t="s">
        <v>11</v>
      </c>
      <c r="D26" s="6">
        <v>8.0</v>
      </c>
      <c r="E26" s="10">
        <f>54.943+180</f>
        <v>234.943</v>
      </c>
      <c r="F26" s="6">
        <v>1.0</v>
      </c>
      <c r="G26" s="11">
        <v>60.091</v>
      </c>
      <c r="H26" s="8"/>
      <c r="I26" s="6">
        <v>2204.7</v>
      </c>
    </row>
    <row r="27">
      <c r="A27" s="5">
        <v>46145.0</v>
      </c>
      <c r="B27" s="6">
        <v>1.0</v>
      </c>
      <c r="C27" s="6" t="s">
        <v>11</v>
      </c>
      <c r="D27" s="6">
        <v>8.0</v>
      </c>
      <c r="F27" s="6">
        <v>2.0</v>
      </c>
      <c r="G27" s="11">
        <v>60.005</v>
      </c>
      <c r="H27" s="8"/>
      <c r="I27" s="6">
        <v>2210.2</v>
      </c>
    </row>
    <row r="28">
      <c r="A28" s="5">
        <v>46145.0</v>
      </c>
      <c r="C28" s="6" t="s">
        <v>11</v>
      </c>
      <c r="D28" s="6">
        <v>8.0</v>
      </c>
      <c r="F28" s="6">
        <v>3.0</v>
      </c>
      <c r="G28" s="11">
        <v>60.062</v>
      </c>
      <c r="H28" s="8"/>
      <c r="I28" s="6">
        <v>2204.8</v>
      </c>
      <c r="J28" s="10">
        <f>average(I26,I28)</f>
        <v>2204.75</v>
      </c>
    </row>
    <row r="29">
      <c r="A29" s="5">
        <v>46145.0</v>
      </c>
      <c r="B29" s="6">
        <v>1.0</v>
      </c>
      <c r="C29" s="6" t="s">
        <v>11</v>
      </c>
      <c r="D29" s="6">
        <v>9.0</v>
      </c>
      <c r="E29" s="10">
        <f>47.742+180</f>
        <v>227.742</v>
      </c>
      <c r="F29" s="6">
        <v>1.0</v>
      </c>
      <c r="G29" s="11">
        <v>60.053</v>
      </c>
      <c r="H29" s="8"/>
      <c r="I29" s="6">
        <v>2237.6</v>
      </c>
    </row>
    <row r="30">
      <c r="A30" s="5">
        <v>46145.0</v>
      </c>
      <c r="C30" s="6" t="s">
        <v>11</v>
      </c>
      <c r="D30" s="6">
        <v>9.0</v>
      </c>
      <c r="F30" s="6">
        <v>2.0</v>
      </c>
      <c r="G30" s="11">
        <v>60.043</v>
      </c>
      <c r="H30" s="8"/>
      <c r="I30" s="6">
        <v>2141.1</v>
      </c>
    </row>
    <row r="31">
      <c r="A31" s="5">
        <v>46145.0</v>
      </c>
      <c r="C31" s="6" t="s">
        <v>11</v>
      </c>
      <c r="D31" s="6">
        <v>9.0</v>
      </c>
      <c r="F31" s="6">
        <v>3.0</v>
      </c>
      <c r="G31" s="11">
        <v>60.043</v>
      </c>
      <c r="H31" s="8"/>
      <c r="I31" s="6">
        <v>2241.9</v>
      </c>
      <c r="J31" s="10">
        <f>average(I30:I31)</f>
        <v>2191.5</v>
      </c>
    </row>
    <row r="32">
      <c r="A32" s="5">
        <v>46145.0</v>
      </c>
      <c r="C32" s="6" t="s">
        <v>11</v>
      </c>
      <c r="D32" s="6">
        <v>10.0</v>
      </c>
      <c r="E32" s="10">
        <f>58.074+180</f>
        <v>238.074</v>
      </c>
      <c r="F32" s="6">
        <v>1.0</v>
      </c>
      <c r="G32" s="11">
        <v>60.003</v>
      </c>
      <c r="H32" s="8"/>
      <c r="I32" s="6">
        <v>2275.9</v>
      </c>
    </row>
    <row r="33">
      <c r="A33" s="5">
        <v>46145.0</v>
      </c>
      <c r="C33" s="6" t="s">
        <v>11</v>
      </c>
      <c r="D33" s="6">
        <v>10.0</v>
      </c>
      <c r="F33" s="6">
        <v>2.0</v>
      </c>
      <c r="G33" s="11">
        <v>60.032</v>
      </c>
      <c r="H33" s="8"/>
      <c r="I33" s="6">
        <v>2272.2</v>
      </c>
      <c r="J33" s="10">
        <f>average(I32:I33)</f>
        <v>2274.05</v>
      </c>
    </row>
    <row r="34">
      <c r="A34" s="5"/>
      <c r="G34" s="11"/>
      <c r="H34" s="8"/>
    </row>
    <row r="35">
      <c r="A35" s="5">
        <v>46145.0</v>
      </c>
      <c r="C35" s="6" t="s">
        <v>11</v>
      </c>
      <c r="D35" s="6">
        <v>11.0</v>
      </c>
      <c r="E35" s="10">
        <f>52.389+180</f>
        <v>232.389</v>
      </c>
      <c r="F35" s="6">
        <v>1.0</v>
      </c>
      <c r="G35" s="11">
        <v>60.024</v>
      </c>
      <c r="H35" s="8"/>
      <c r="I35" s="6">
        <v>2180.1</v>
      </c>
    </row>
    <row r="36">
      <c r="A36" s="5">
        <v>46145.0</v>
      </c>
      <c r="C36" s="6" t="s">
        <v>11</v>
      </c>
      <c r="D36" s="6">
        <v>11.0</v>
      </c>
      <c r="F36" s="6">
        <v>2.0</v>
      </c>
      <c r="G36" s="11">
        <v>60.034</v>
      </c>
      <c r="H36" s="8"/>
      <c r="I36" s="6">
        <v>2180.8</v>
      </c>
      <c r="J36" s="10">
        <f>average(I35:I36)</f>
        <v>2180.45</v>
      </c>
    </row>
    <row r="37">
      <c r="A37" s="5">
        <v>46145.0</v>
      </c>
      <c r="C37" s="6" t="s">
        <v>11</v>
      </c>
      <c r="D37" s="6">
        <v>11.0</v>
      </c>
      <c r="F37" s="6">
        <v>3.0</v>
      </c>
      <c r="G37" s="11">
        <v>60.015</v>
      </c>
      <c r="H37" s="8"/>
    </row>
    <row r="38">
      <c r="A38" s="5">
        <v>46145.0</v>
      </c>
      <c r="C38" s="6" t="s">
        <v>11</v>
      </c>
      <c r="D38" s="6">
        <v>13.0</v>
      </c>
      <c r="E38" s="10">
        <f>58.212+180</f>
        <v>238.212</v>
      </c>
      <c r="F38" s="6">
        <v>1.0</v>
      </c>
      <c r="G38" s="11"/>
      <c r="H38" s="8"/>
      <c r="K38" s="6" t="s">
        <v>15</v>
      </c>
    </row>
    <row r="39">
      <c r="A39" s="5">
        <v>46145.0</v>
      </c>
      <c r="C39" s="6" t="s">
        <v>11</v>
      </c>
      <c r="D39" s="6">
        <v>13.0</v>
      </c>
      <c r="F39" s="6">
        <v>2.0</v>
      </c>
      <c r="G39" s="11">
        <v>60.014</v>
      </c>
      <c r="H39" s="8"/>
      <c r="I39" s="6">
        <v>2251.0</v>
      </c>
    </row>
    <row r="40">
      <c r="A40" s="5">
        <v>46145.0</v>
      </c>
      <c r="C40" s="6" t="s">
        <v>11</v>
      </c>
      <c r="D40" s="6">
        <v>13.0</v>
      </c>
      <c r="F40" s="6">
        <v>3.0</v>
      </c>
      <c r="G40" s="11">
        <v>60.028</v>
      </c>
      <c r="H40" s="8"/>
      <c r="I40" s="6">
        <v>2253.5</v>
      </c>
      <c r="J40" s="10">
        <f>average(I39:I40)</f>
        <v>2252.25</v>
      </c>
    </row>
    <row r="41">
      <c r="A41" s="5">
        <v>46145.0</v>
      </c>
      <c r="C41" s="6" t="s">
        <v>11</v>
      </c>
      <c r="D41" s="6">
        <v>14.0</v>
      </c>
      <c r="E41" s="10">
        <f>49.102+180</f>
        <v>229.102</v>
      </c>
      <c r="F41" s="6">
        <v>1.0</v>
      </c>
      <c r="G41" s="11">
        <v>60.066</v>
      </c>
      <c r="H41" s="8"/>
      <c r="I41" s="6">
        <v>2251.0</v>
      </c>
    </row>
    <row r="42">
      <c r="A42" s="5">
        <v>46145.0</v>
      </c>
      <c r="C42" s="6" t="s">
        <v>11</v>
      </c>
      <c r="D42" s="6">
        <v>14.0</v>
      </c>
      <c r="F42" s="6">
        <v>2.0</v>
      </c>
      <c r="G42" s="11">
        <v>60.032</v>
      </c>
      <c r="H42" s="8"/>
      <c r="I42" s="6">
        <v>2250.6</v>
      </c>
      <c r="J42" s="10">
        <f>average(I41:I42)</f>
        <v>2250.8</v>
      </c>
    </row>
    <row r="43">
      <c r="A43" s="5"/>
      <c r="G43" s="11"/>
      <c r="H43" s="8"/>
    </row>
    <row r="44">
      <c r="A44" s="5">
        <v>46145.0</v>
      </c>
      <c r="B44" s="6">
        <v>2.0</v>
      </c>
      <c r="C44" s="6" t="s">
        <v>11</v>
      </c>
      <c r="D44" s="1">
        <v>15.0</v>
      </c>
      <c r="F44" s="6">
        <v>1.0</v>
      </c>
      <c r="G44" s="11">
        <v>60.125</v>
      </c>
      <c r="H44" s="8"/>
      <c r="I44" s="6">
        <v>2213.2</v>
      </c>
    </row>
    <row r="45">
      <c r="A45" s="5">
        <v>46145.0</v>
      </c>
      <c r="B45" s="6">
        <v>2.0</v>
      </c>
      <c r="C45" s="6" t="s">
        <v>11</v>
      </c>
      <c r="D45" s="1">
        <v>15.0</v>
      </c>
      <c r="F45" s="6">
        <v>2.0</v>
      </c>
      <c r="G45" s="11">
        <v>60.038</v>
      </c>
      <c r="H45" s="8"/>
      <c r="I45" s="6">
        <v>2199.7</v>
      </c>
    </row>
    <row r="46">
      <c r="A46" s="5">
        <v>46145.0</v>
      </c>
      <c r="C46" s="6" t="s">
        <v>11</v>
      </c>
      <c r="D46" s="1">
        <v>15.0</v>
      </c>
      <c r="F46" s="6">
        <v>3.0</v>
      </c>
      <c r="G46" s="11">
        <v>60.013</v>
      </c>
      <c r="H46" s="8"/>
      <c r="I46" s="6">
        <v>2197.4</v>
      </c>
      <c r="J46" s="10">
        <f>average(I45:I46)</f>
        <v>2198.55</v>
      </c>
    </row>
    <row r="47">
      <c r="A47" s="5">
        <v>46145.0</v>
      </c>
      <c r="C47" s="6" t="s">
        <v>11</v>
      </c>
      <c r="D47" s="6">
        <v>16.0</v>
      </c>
      <c r="E47" s="10">
        <f>69.338+180</f>
        <v>249.338</v>
      </c>
      <c r="F47" s="6">
        <v>1.0</v>
      </c>
      <c r="G47" s="11">
        <v>60.058</v>
      </c>
      <c r="H47" s="8"/>
      <c r="I47" s="6">
        <v>2179.8</v>
      </c>
    </row>
    <row r="48">
      <c r="A48" s="5">
        <v>46145.0</v>
      </c>
      <c r="C48" s="6" t="s">
        <v>11</v>
      </c>
      <c r="D48" s="6">
        <v>16.0</v>
      </c>
      <c r="F48" s="6">
        <v>2.0</v>
      </c>
      <c r="G48" s="11">
        <v>60.036</v>
      </c>
      <c r="H48" s="8"/>
      <c r="I48" s="6">
        <v>2177.3</v>
      </c>
      <c r="J48" s="10">
        <f>average(I47:I48)</f>
        <v>2178.55</v>
      </c>
    </row>
    <row r="49">
      <c r="A49" s="5"/>
      <c r="G49" s="11"/>
      <c r="H49" s="8"/>
    </row>
    <row r="50">
      <c r="A50" s="5">
        <v>46145.0</v>
      </c>
      <c r="C50" s="6" t="s">
        <v>11</v>
      </c>
      <c r="D50" s="6">
        <v>17.0</v>
      </c>
      <c r="E50" s="10">
        <f>50.873+180</f>
        <v>230.873</v>
      </c>
      <c r="F50" s="6">
        <v>1.0</v>
      </c>
      <c r="G50" s="11">
        <v>60.01</v>
      </c>
      <c r="H50" s="8"/>
      <c r="I50" s="6">
        <v>2199.4</v>
      </c>
    </row>
    <row r="51">
      <c r="A51" s="5">
        <v>46145.0</v>
      </c>
      <c r="C51" s="6" t="s">
        <v>11</v>
      </c>
      <c r="D51" s="6">
        <v>17.0</v>
      </c>
      <c r="F51" s="6">
        <v>2.0</v>
      </c>
      <c r="G51" s="11">
        <v>60.005</v>
      </c>
      <c r="H51" s="8"/>
      <c r="I51" s="6">
        <v>2199.7</v>
      </c>
      <c r="J51" s="10">
        <f>average(I50:I51)</f>
        <v>2199.55</v>
      </c>
    </row>
    <row r="52">
      <c r="A52" s="5"/>
      <c r="G52" s="11"/>
      <c r="H52" s="8"/>
    </row>
    <row r="53">
      <c r="A53" s="5">
        <v>46145.0</v>
      </c>
      <c r="C53" s="6" t="s">
        <v>11</v>
      </c>
      <c r="D53" s="6">
        <v>18.0</v>
      </c>
      <c r="E53" s="10">
        <f>46.428+180</f>
        <v>226.428</v>
      </c>
      <c r="F53" s="6">
        <v>1.0</v>
      </c>
      <c r="G53" s="11">
        <v>60.074</v>
      </c>
      <c r="H53" s="8"/>
      <c r="I53" s="6">
        <v>2186.4</v>
      </c>
    </row>
    <row r="54">
      <c r="A54" s="5">
        <v>46145.0</v>
      </c>
      <c r="C54" s="6" t="s">
        <v>11</v>
      </c>
      <c r="D54" s="6">
        <v>18.0</v>
      </c>
      <c r="F54" s="6">
        <v>2.0</v>
      </c>
      <c r="G54" s="11">
        <v>60.033</v>
      </c>
      <c r="H54" s="8"/>
      <c r="I54" s="8">
        <v>2188.7</v>
      </c>
      <c r="J54" s="10">
        <f>average(I53:I54)</f>
        <v>2187.55</v>
      </c>
    </row>
    <row r="55">
      <c r="A55" s="5"/>
      <c r="H55" s="8"/>
    </row>
    <row r="56">
      <c r="A56" s="5">
        <v>46145.0</v>
      </c>
      <c r="C56" s="6" t="s">
        <v>11</v>
      </c>
      <c r="D56" s="6">
        <v>19.0</v>
      </c>
      <c r="E56" s="10">
        <f>76.909+180</f>
        <v>256.909</v>
      </c>
      <c r="F56" s="6">
        <v>1.0</v>
      </c>
      <c r="G56" s="11">
        <v>60.033</v>
      </c>
      <c r="H56" s="8"/>
      <c r="I56" s="6">
        <v>2185.1</v>
      </c>
    </row>
    <row r="57">
      <c r="A57" s="5">
        <v>46145.0</v>
      </c>
      <c r="C57" s="6" t="s">
        <v>11</v>
      </c>
      <c r="D57" s="6">
        <v>19.0</v>
      </c>
      <c r="F57" s="6">
        <v>2.0</v>
      </c>
      <c r="G57" s="11">
        <v>60.044</v>
      </c>
      <c r="H57" s="8"/>
      <c r="I57" s="6">
        <v>2182.2</v>
      </c>
      <c r="J57" s="10">
        <f>average(I56:I57)</f>
        <v>2183.65</v>
      </c>
    </row>
    <row r="58">
      <c r="A58" s="5"/>
      <c r="G58" s="11"/>
      <c r="H58" s="8"/>
    </row>
    <row r="59">
      <c r="A59" s="5">
        <v>46145.0</v>
      </c>
      <c r="C59" s="6" t="s">
        <v>11</v>
      </c>
      <c r="D59" s="6">
        <v>20.0</v>
      </c>
      <c r="E59" s="10">
        <f>54.249+180</f>
        <v>234.249</v>
      </c>
      <c r="F59" s="6">
        <v>1.0</v>
      </c>
      <c r="G59" s="11">
        <v>60.009</v>
      </c>
      <c r="H59" s="8"/>
      <c r="I59" s="6">
        <v>2203.3</v>
      </c>
    </row>
    <row r="60">
      <c r="A60" s="5">
        <v>46145.0</v>
      </c>
      <c r="C60" s="6" t="s">
        <v>11</v>
      </c>
      <c r="D60" s="6">
        <v>20.0</v>
      </c>
      <c r="F60" s="6">
        <v>2.0</v>
      </c>
      <c r="G60" s="11">
        <v>60.043</v>
      </c>
      <c r="H60" s="8"/>
      <c r="I60" s="6">
        <v>2202.3</v>
      </c>
      <c r="J60" s="10">
        <f>average(I59:I60)</f>
        <v>2202.8</v>
      </c>
    </row>
    <row r="61">
      <c r="A61" s="5"/>
      <c r="G61" s="11"/>
      <c r="H61" s="8"/>
    </row>
    <row r="62">
      <c r="A62" s="5">
        <v>46145.0</v>
      </c>
      <c r="C62" s="6" t="s">
        <v>11</v>
      </c>
      <c r="D62" s="6">
        <v>21.0</v>
      </c>
      <c r="E62" s="10">
        <f>49.346+180</f>
        <v>229.346</v>
      </c>
      <c r="F62" s="6">
        <v>1.0</v>
      </c>
      <c r="G62" s="11">
        <v>60.029</v>
      </c>
      <c r="H62" s="8"/>
      <c r="I62" s="6">
        <v>2190.4</v>
      </c>
    </row>
    <row r="63">
      <c r="A63" s="5">
        <v>46145.0</v>
      </c>
      <c r="C63" s="6" t="s">
        <v>11</v>
      </c>
      <c r="D63" s="6">
        <v>21.0</v>
      </c>
      <c r="F63" s="6">
        <v>2.0</v>
      </c>
      <c r="G63" s="6">
        <v>60.019</v>
      </c>
      <c r="H63" s="8"/>
      <c r="I63" s="6">
        <v>2190.4</v>
      </c>
      <c r="J63" s="10">
        <f>average(I62:I63)</f>
        <v>2190.4</v>
      </c>
    </row>
    <row r="64">
      <c r="A64" s="5"/>
      <c r="G64" s="11"/>
      <c r="H64" s="8"/>
    </row>
    <row r="65">
      <c r="A65" s="5">
        <v>46145.0</v>
      </c>
      <c r="C65" s="6" t="s">
        <v>11</v>
      </c>
      <c r="D65" s="6">
        <v>22.0</v>
      </c>
      <c r="E65" s="10">
        <f>74.402+180</f>
        <v>254.402</v>
      </c>
      <c r="F65" s="6">
        <v>1.0</v>
      </c>
      <c r="G65" s="11">
        <v>60.031</v>
      </c>
      <c r="H65" s="8"/>
      <c r="I65" s="6">
        <v>2197.1</v>
      </c>
    </row>
    <row r="66">
      <c r="A66" s="5">
        <v>46145.0</v>
      </c>
      <c r="C66" s="6" t="s">
        <v>11</v>
      </c>
      <c r="D66" s="6">
        <v>22.0</v>
      </c>
      <c r="F66" s="6">
        <v>2.0</v>
      </c>
      <c r="G66" s="11">
        <v>60.004</v>
      </c>
      <c r="H66" s="8"/>
      <c r="I66" s="6">
        <v>2197.3</v>
      </c>
      <c r="J66" s="10">
        <f>average(I65:I66)</f>
        <v>2197.2</v>
      </c>
    </row>
    <row r="67">
      <c r="A67" s="5"/>
      <c r="G67" s="11"/>
      <c r="H67" s="8"/>
    </row>
    <row r="68">
      <c r="A68" s="5">
        <v>46145.0</v>
      </c>
      <c r="C68" s="6" t="s">
        <v>11</v>
      </c>
      <c r="D68" s="6">
        <v>23.0</v>
      </c>
      <c r="E68" s="10">
        <f>47.407+180</f>
        <v>227.407</v>
      </c>
      <c r="F68" s="6">
        <v>1.0</v>
      </c>
      <c r="G68" s="11">
        <v>60.071</v>
      </c>
      <c r="H68" s="8"/>
      <c r="I68" s="6">
        <v>2189.0</v>
      </c>
    </row>
    <row r="69">
      <c r="A69" s="5">
        <v>46145.0</v>
      </c>
      <c r="C69" s="6" t="s">
        <v>11</v>
      </c>
      <c r="D69" s="6">
        <v>23.0</v>
      </c>
      <c r="F69" s="6">
        <v>2.0</v>
      </c>
      <c r="G69" s="11">
        <v>60.036</v>
      </c>
      <c r="H69" s="8"/>
      <c r="I69" s="6">
        <v>2188.3</v>
      </c>
      <c r="J69" s="10">
        <f>average(I68:I69)</f>
        <v>2188.65</v>
      </c>
    </row>
    <row r="70">
      <c r="A70" s="5"/>
      <c r="G70" s="11"/>
      <c r="H70" s="8"/>
    </row>
    <row r="71">
      <c r="A71" s="5">
        <v>46145.0</v>
      </c>
      <c r="C71" s="6" t="s">
        <v>11</v>
      </c>
      <c r="D71" s="6">
        <v>24.0</v>
      </c>
      <c r="E71" s="10">
        <f>50.217+180</f>
        <v>230.217</v>
      </c>
      <c r="F71" s="6">
        <v>1.0</v>
      </c>
      <c r="G71" s="11">
        <v>60.053</v>
      </c>
      <c r="H71" s="8"/>
      <c r="I71" s="6">
        <v>2186.5</v>
      </c>
    </row>
    <row r="72">
      <c r="A72" s="5">
        <v>46145.0</v>
      </c>
      <c r="C72" s="6" t="s">
        <v>11</v>
      </c>
      <c r="D72" s="6">
        <v>24.0</v>
      </c>
      <c r="F72" s="6">
        <v>2.0</v>
      </c>
      <c r="G72" s="11">
        <v>60.038</v>
      </c>
      <c r="H72" s="8"/>
      <c r="I72" s="6">
        <v>2183.7</v>
      </c>
      <c r="J72" s="10">
        <f>average(I71:I72)</f>
        <v>2185.1</v>
      </c>
    </row>
    <row r="73">
      <c r="A73" s="5"/>
      <c r="G73" s="11"/>
      <c r="H73" s="8"/>
    </row>
    <row r="74">
      <c r="A74" s="5">
        <v>46145.0</v>
      </c>
      <c r="C74" s="6" t="s">
        <v>11</v>
      </c>
      <c r="D74" s="6">
        <v>25.0</v>
      </c>
      <c r="E74" s="10">
        <f>65.845+180</f>
        <v>245.845</v>
      </c>
      <c r="F74" s="6">
        <v>1.0</v>
      </c>
      <c r="G74" s="11">
        <v>60.033</v>
      </c>
      <c r="H74" s="8"/>
      <c r="I74" s="6">
        <v>2206.0</v>
      </c>
    </row>
    <row r="75">
      <c r="A75" s="5">
        <v>46145.0</v>
      </c>
      <c r="C75" s="6" t="s">
        <v>11</v>
      </c>
      <c r="D75" s="6">
        <v>25.0</v>
      </c>
      <c r="F75" s="6">
        <v>2.0</v>
      </c>
      <c r="G75" s="11">
        <v>60.036</v>
      </c>
      <c r="H75" s="8"/>
      <c r="I75" s="6">
        <v>2203.8</v>
      </c>
      <c r="J75" s="10">
        <f>average(I74:I75)</f>
        <v>2204.9</v>
      </c>
    </row>
    <row r="76">
      <c r="A76" s="5"/>
      <c r="G76" s="11"/>
      <c r="H76" s="8"/>
    </row>
    <row r="77">
      <c r="A77" s="5">
        <v>46145.0</v>
      </c>
      <c r="C77" s="6" t="s">
        <v>11</v>
      </c>
      <c r="D77" s="6">
        <v>26.0</v>
      </c>
      <c r="E77" s="10">
        <f>46.817+180</f>
        <v>226.817</v>
      </c>
      <c r="F77" s="6">
        <v>1.0</v>
      </c>
      <c r="G77" s="11">
        <v>60.052</v>
      </c>
      <c r="H77" s="8"/>
      <c r="I77" s="6">
        <v>2203.3</v>
      </c>
    </row>
    <row r="78">
      <c r="A78" s="5">
        <v>46145.0</v>
      </c>
      <c r="C78" s="6" t="s">
        <v>11</v>
      </c>
      <c r="D78" s="6">
        <v>26.0</v>
      </c>
      <c r="F78" s="6">
        <v>2.0</v>
      </c>
      <c r="G78" s="11">
        <v>60.098</v>
      </c>
      <c r="H78" s="8"/>
      <c r="I78" s="6">
        <v>2201.3</v>
      </c>
      <c r="J78" s="10">
        <f>average(I77:I78)</f>
        <v>2202.3</v>
      </c>
    </row>
    <row r="79">
      <c r="A79" s="5"/>
      <c r="G79" s="11"/>
      <c r="H79" s="8"/>
    </row>
    <row r="80">
      <c r="A80" s="5">
        <v>46145.0</v>
      </c>
      <c r="C80" s="6" t="s">
        <v>11</v>
      </c>
      <c r="D80" s="6">
        <v>27.0</v>
      </c>
      <c r="E80" s="10">
        <f>51.009+180</f>
        <v>231.009</v>
      </c>
      <c r="F80" s="6">
        <v>1.0</v>
      </c>
      <c r="G80" s="11">
        <v>60.017</v>
      </c>
      <c r="H80" s="8"/>
      <c r="K80" s="6" t="s">
        <v>15</v>
      </c>
    </row>
    <row r="81">
      <c r="A81" s="5">
        <v>46145.0</v>
      </c>
      <c r="C81" s="6" t="s">
        <v>11</v>
      </c>
      <c r="D81" s="6">
        <v>27.0</v>
      </c>
      <c r="F81" s="6">
        <v>2.0</v>
      </c>
      <c r="G81" s="11">
        <v>60.028</v>
      </c>
      <c r="H81" s="8"/>
      <c r="I81" s="6">
        <v>2209.4</v>
      </c>
    </row>
    <row r="82">
      <c r="A82" s="5">
        <v>46145.0</v>
      </c>
      <c r="C82" s="6" t="s">
        <v>11</v>
      </c>
      <c r="D82" s="6">
        <v>27.0</v>
      </c>
      <c r="F82" s="6">
        <v>3.0</v>
      </c>
      <c r="G82" s="11">
        <v>60.009</v>
      </c>
      <c r="H82" s="8"/>
      <c r="I82" s="6">
        <v>2207.0</v>
      </c>
      <c r="J82" s="10">
        <f>average(I81:I82)</f>
        <v>2208.2</v>
      </c>
    </row>
    <row r="83">
      <c r="A83" s="5">
        <v>46145.0</v>
      </c>
      <c r="B83" s="6">
        <v>3.0</v>
      </c>
      <c r="C83" s="6" t="s">
        <v>11</v>
      </c>
      <c r="D83" s="1">
        <v>29.0</v>
      </c>
      <c r="F83" s="6">
        <v>1.0</v>
      </c>
      <c r="G83" s="11">
        <v>60.048</v>
      </c>
      <c r="H83" s="8"/>
      <c r="I83" s="6">
        <v>2200.4</v>
      </c>
    </row>
    <row r="84">
      <c r="A84" s="5">
        <v>46145.0</v>
      </c>
      <c r="C84" s="6" t="s">
        <v>11</v>
      </c>
      <c r="D84" s="1">
        <v>29.0</v>
      </c>
      <c r="F84" s="6">
        <v>2.0</v>
      </c>
      <c r="G84" s="11">
        <v>60.035</v>
      </c>
      <c r="H84" s="8"/>
      <c r="I84" s="6">
        <v>2204.6</v>
      </c>
    </row>
    <row r="85">
      <c r="A85" s="5">
        <v>46145.0</v>
      </c>
      <c r="C85" s="6" t="s">
        <v>11</v>
      </c>
      <c r="D85" s="1">
        <v>29.0</v>
      </c>
      <c r="F85" s="6">
        <v>3.0</v>
      </c>
      <c r="G85" s="11">
        <v>60.03</v>
      </c>
      <c r="H85" s="8"/>
      <c r="I85" s="6">
        <v>2201.3</v>
      </c>
      <c r="J85" s="10">
        <f>average(I83,I85)</f>
        <v>2200.85</v>
      </c>
    </row>
    <row r="86">
      <c r="A86" s="5">
        <v>46145.0</v>
      </c>
      <c r="C86" s="6" t="s">
        <v>11</v>
      </c>
      <c r="D86" s="6">
        <v>30.0</v>
      </c>
      <c r="E86" s="10">
        <f>135+180</f>
        <v>315</v>
      </c>
      <c r="F86" s="6">
        <v>1.0</v>
      </c>
      <c r="G86" s="11">
        <v>60.014</v>
      </c>
      <c r="H86" s="8"/>
      <c r="I86" s="6">
        <v>2203.7</v>
      </c>
      <c r="K86" s="6" t="s">
        <v>16</v>
      </c>
    </row>
    <row r="87">
      <c r="A87" s="5">
        <v>46145.0</v>
      </c>
      <c r="C87" s="6" t="s">
        <v>11</v>
      </c>
      <c r="D87" s="6">
        <v>30.0</v>
      </c>
      <c r="F87" s="6">
        <v>2.0</v>
      </c>
      <c r="G87" s="11">
        <v>60.024</v>
      </c>
      <c r="H87" s="8"/>
      <c r="I87" s="6">
        <v>2203.0</v>
      </c>
      <c r="J87" s="10">
        <f>average(I86:I87)</f>
        <v>2203.35</v>
      </c>
    </row>
    <row r="88">
      <c r="A88" s="5"/>
      <c r="G88" s="11"/>
      <c r="H88" s="8"/>
    </row>
    <row r="89">
      <c r="A89" s="5">
        <v>46145.0</v>
      </c>
      <c r="C89" s="6" t="s">
        <v>11</v>
      </c>
      <c r="D89" s="6">
        <v>31.0</v>
      </c>
      <c r="E89" s="10">
        <f>52.849+180</f>
        <v>232.849</v>
      </c>
      <c r="F89" s="6">
        <v>1.0</v>
      </c>
      <c r="G89" s="11">
        <v>60.008</v>
      </c>
      <c r="H89" s="8"/>
      <c r="I89" s="6">
        <v>2202.9</v>
      </c>
    </row>
    <row r="90">
      <c r="A90" s="5">
        <v>46145.0</v>
      </c>
      <c r="C90" s="6" t="s">
        <v>11</v>
      </c>
      <c r="D90" s="6">
        <v>31.0</v>
      </c>
      <c r="F90" s="6">
        <v>2.0</v>
      </c>
      <c r="G90" s="11">
        <v>60.05</v>
      </c>
      <c r="H90" s="8"/>
      <c r="I90" s="6">
        <v>2186.7</v>
      </c>
    </row>
    <row r="91">
      <c r="A91" s="5">
        <v>46145.0</v>
      </c>
      <c r="C91" s="6" t="s">
        <v>11</v>
      </c>
      <c r="D91" s="6">
        <v>31.0</v>
      </c>
      <c r="F91" s="6">
        <v>3.0</v>
      </c>
      <c r="G91" s="11">
        <v>60.043</v>
      </c>
      <c r="H91" s="8"/>
      <c r="I91" s="6">
        <v>2188.5</v>
      </c>
      <c r="J91" s="10">
        <f>average(I90:I91)</f>
        <v>2187.6</v>
      </c>
    </row>
    <row r="92">
      <c r="A92" s="5">
        <v>46145.0</v>
      </c>
      <c r="C92" s="6" t="s">
        <v>11</v>
      </c>
      <c r="D92" s="12">
        <v>32.0</v>
      </c>
      <c r="E92" s="10">
        <f>46.678+180</f>
        <v>226.678</v>
      </c>
      <c r="F92" s="6">
        <v>1.0</v>
      </c>
      <c r="G92" s="11">
        <v>60.01</v>
      </c>
      <c r="H92" s="8"/>
      <c r="I92" s="6">
        <v>2167.8</v>
      </c>
    </row>
    <row r="93">
      <c r="A93" s="5">
        <v>46145.0</v>
      </c>
      <c r="C93" s="6" t="s">
        <v>11</v>
      </c>
      <c r="D93" s="12">
        <v>32.0</v>
      </c>
      <c r="F93" s="6">
        <v>2.0</v>
      </c>
      <c r="G93" s="11">
        <v>60.012</v>
      </c>
      <c r="H93" s="8"/>
      <c r="I93" s="6">
        <v>2167.4</v>
      </c>
      <c r="J93" s="10">
        <f>average(I92:I93)</f>
        <v>2167.6</v>
      </c>
    </row>
    <row r="94">
      <c r="A94" s="5"/>
      <c r="D94" s="12"/>
      <c r="G94" s="11"/>
      <c r="H94" s="8"/>
    </row>
    <row r="95">
      <c r="A95" s="5">
        <v>46145.0</v>
      </c>
      <c r="C95" s="6" t="s">
        <v>11</v>
      </c>
      <c r="D95" s="12">
        <v>33.0</v>
      </c>
      <c r="E95" s="10">
        <f>79.654+180</f>
        <v>259.654</v>
      </c>
      <c r="F95" s="6">
        <v>1.0</v>
      </c>
      <c r="G95" s="11">
        <v>60.024</v>
      </c>
      <c r="H95" s="8"/>
      <c r="I95" s="6">
        <v>2188.4</v>
      </c>
    </row>
    <row r="96">
      <c r="A96" s="5">
        <v>46145.0</v>
      </c>
      <c r="C96" s="6" t="s">
        <v>11</v>
      </c>
      <c r="D96" s="12">
        <v>33.0</v>
      </c>
      <c r="F96" s="6">
        <v>2.0</v>
      </c>
      <c r="G96" s="11">
        <v>60.022</v>
      </c>
      <c r="H96" s="8"/>
      <c r="I96" s="6">
        <v>2186.8</v>
      </c>
      <c r="J96" s="10">
        <f>average(I95:I96)</f>
        <v>2187.6</v>
      </c>
    </row>
    <row r="97">
      <c r="A97" s="5"/>
      <c r="D97" s="12"/>
      <c r="G97" s="11"/>
      <c r="H97" s="8"/>
    </row>
    <row r="98">
      <c r="A98" s="5">
        <v>46145.0</v>
      </c>
      <c r="C98" s="6" t="s">
        <v>11</v>
      </c>
      <c r="D98" s="12">
        <v>34.0</v>
      </c>
      <c r="E98" s="10">
        <f>55.51+180</f>
        <v>235.51</v>
      </c>
      <c r="F98" s="6">
        <v>1.0</v>
      </c>
      <c r="G98" s="11">
        <v>60.019</v>
      </c>
      <c r="H98" s="8"/>
      <c r="I98" s="6">
        <v>2199.6</v>
      </c>
    </row>
    <row r="99">
      <c r="A99" s="5">
        <v>46145.0</v>
      </c>
      <c r="C99" s="6" t="s">
        <v>11</v>
      </c>
      <c r="D99" s="12">
        <v>34.0</v>
      </c>
      <c r="F99" s="6">
        <v>2.0</v>
      </c>
      <c r="G99" s="11">
        <v>60.062</v>
      </c>
      <c r="H99" s="8"/>
      <c r="I99" s="6">
        <v>2195.7</v>
      </c>
    </row>
    <row r="100">
      <c r="A100" s="5">
        <v>46145.0</v>
      </c>
      <c r="C100" s="6" t="s">
        <v>11</v>
      </c>
      <c r="D100" s="12">
        <v>34.0</v>
      </c>
      <c r="F100" s="6">
        <v>3.0</v>
      </c>
      <c r="G100" s="11">
        <v>60.011</v>
      </c>
      <c r="H100" s="8"/>
      <c r="I100" s="6">
        <v>2199.1</v>
      </c>
      <c r="J100" s="10">
        <f>average(I98,I100)</f>
        <v>2199.35</v>
      </c>
    </row>
    <row r="101">
      <c r="A101" s="5">
        <v>46145.0</v>
      </c>
      <c r="C101" s="6" t="s">
        <v>11</v>
      </c>
      <c r="D101" s="12">
        <v>35.0</v>
      </c>
      <c r="E101" s="10">
        <f>46.104+180</f>
        <v>226.104</v>
      </c>
      <c r="F101" s="6">
        <v>1.0</v>
      </c>
      <c r="G101" s="11">
        <v>60.044</v>
      </c>
      <c r="H101" s="8"/>
      <c r="I101" s="6">
        <v>2169.0</v>
      </c>
    </row>
    <row r="102">
      <c r="A102" s="5">
        <v>46145.0</v>
      </c>
      <c r="C102" s="6" t="s">
        <v>11</v>
      </c>
      <c r="D102" s="12">
        <v>35.0</v>
      </c>
      <c r="F102" s="6">
        <v>2.0</v>
      </c>
      <c r="G102" s="11">
        <v>60.033</v>
      </c>
      <c r="H102" s="8"/>
      <c r="I102" s="6">
        <v>2166.3</v>
      </c>
      <c r="J102" s="10">
        <f>average(I101:I102)</f>
        <v>2167.65</v>
      </c>
    </row>
    <row r="103">
      <c r="A103" s="5"/>
      <c r="D103" s="12"/>
      <c r="G103" s="11"/>
      <c r="H103" s="8"/>
    </row>
    <row r="104">
      <c r="A104" s="5">
        <v>46145.0</v>
      </c>
      <c r="C104" s="6" t="s">
        <v>11</v>
      </c>
      <c r="D104" s="12">
        <v>36.0</v>
      </c>
      <c r="E104" s="10">
        <f>86.545+180</f>
        <v>266.545</v>
      </c>
      <c r="F104" s="6">
        <v>1.0</v>
      </c>
      <c r="G104" s="11">
        <v>60.069</v>
      </c>
      <c r="H104" s="8"/>
      <c r="I104" s="6">
        <v>2191.1</v>
      </c>
    </row>
    <row r="105">
      <c r="A105" s="5">
        <v>46145.0</v>
      </c>
      <c r="C105" s="6" t="s">
        <v>11</v>
      </c>
      <c r="D105" s="12">
        <v>36.0</v>
      </c>
      <c r="F105" s="6">
        <v>2.0</v>
      </c>
      <c r="G105" s="11">
        <v>60.079</v>
      </c>
      <c r="H105" s="8"/>
      <c r="I105" s="6">
        <v>2194.8</v>
      </c>
      <c r="M105" s="13"/>
    </row>
    <row r="106">
      <c r="A106" s="5">
        <v>46145.0</v>
      </c>
      <c r="C106" s="6" t="s">
        <v>11</v>
      </c>
      <c r="D106" s="12">
        <v>36.0</v>
      </c>
      <c r="F106" s="6">
        <v>3.0</v>
      </c>
      <c r="G106" s="11">
        <v>60.009</v>
      </c>
      <c r="H106" s="8"/>
      <c r="I106" s="6">
        <v>2194.7</v>
      </c>
      <c r="J106" s="10">
        <f>average(I105:I106)</f>
        <v>2194.75</v>
      </c>
      <c r="M106" s="13"/>
    </row>
    <row r="107">
      <c r="A107" s="5">
        <v>46145.0</v>
      </c>
      <c r="C107" s="6" t="s">
        <v>11</v>
      </c>
      <c r="D107" s="12">
        <v>37.0</v>
      </c>
      <c r="E107" s="10">
        <f>51.597+180</f>
        <v>231.597</v>
      </c>
      <c r="F107" s="6">
        <v>1.0</v>
      </c>
      <c r="G107" s="11">
        <v>60.031</v>
      </c>
      <c r="H107" s="8"/>
      <c r="I107" s="6">
        <v>2187.9</v>
      </c>
      <c r="M107" s="13"/>
    </row>
    <row r="108">
      <c r="A108" s="5">
        <v>46145.0</v>
      </c>
      <c r="C108" s="6" t="s">
        <v>11</v>
      </c>
      <c r="D108" s="12">
        <v>37.0</v>
      </c>
      <c r="F108" s="6">
        <v>2.0</v>
      </c>
      <c r="G108" s="11">
        <v>60.053</v>
      </c>
      <c r="H108" s="8"/>
      <c r="I108" s="6">
        <v>2188.6</v>
      </c>
      <c r="J108" s="10">
        <f>average(I107:I108)</f>
        <v>2188.25</v>
      </c>
      <c r="M108" s="13"/>
    </row>
    <row r="109">
      <c r="A109" s="5"/>
      <c r="D109" s="12"/>
      <c r="G109" s="11"/>
      <c r="H109" s="8"/>
      <c r="M109" s="13"/>
    </row>
    <row r="110">
      <c r="A110" s="5">
        <v>46145.0</v>
      </c>
      <c r="C110" s="6" t="s">
        <v>11</v>
      </c>
      <c r="D110" s="12">
        <v>38.0</v>
      </c>
      <c r="E110" s="10">
        <f>53.417+180</f>
        <v>233.417</v>
      </c>
      <c r="F110" s="6">
        <v>1.0</v>
      </c>
      <c r="G110" s="11">
        <v>60.056</v>
      </c>
      <c r="H110" s="8"/>
      <c r="I110" s="6">
        <v>2186.7</v>
      </c>
      <c r="M110" s="13"/>
    </row>
    <row r="111">
      <c r="A111" s="5">
        <v>46145.0</v>
      </c>
      <c r="C111" s="6" t="s">
        <v>11</v>
      </c>
      <c r="D111" s="12">
        <v>38.0</v>
      </c>
      <c r="F111" s="6">
        <v>2.0</v>
      </c>
      <c r="G111" s="11">
        <v>60.047</v>
      </c>
      <c r="H111" s="8"/>
      <c r="I111" s="6">
        <v>2185.7</v>
      </c>
      <c r="J111" s="10">
        <f>average(I110:I111)</f>
        <v>2186.2</v>
      </c>
      <c r="M111" s="13"/>
    </row>
    <row r="112">
      <c r="A112" s="5"/>
      <c r="D112" s="12"/>
      <c r="G112" s="11"/>
      <c r="H112" s="8"/>
      <c r="M112" s="13"/>
    </row>
    <row r="113">
      <c r="A113" s="5">
        <v>46145.0</v>
      </c>
      <c r="C113" s="6" t="s">
        <v>11</v>
      </c>
      <c r="D113" s="12">
        <v>39.0</v>
      </c>
      <c r="E113" s="10">
        <f>59.935+180</f>
        <v>239.935</v>
      </c>
      <c r="F113" s="6">
        <v>1.0</v>
      </c>
      <c r="G113" s="11">
        <v>60.031</v>
      </c>
      <c r="H113" s="8"/>
      <c r="I113" s="6">
        <v>2191.7</v>
      </c>
      <c r="M113" s="13"/>
    </row>
    <row r="114">
      <c r="A114" s="5">
        <v>46145.0</v>
      </c>
      <c r="C114" s="6" t="s">
        <v>11</v>
      </c>
      <c r="D114" s="12">
        <v>39.0</v>
      </c>
      <c r="F114" s="6">
        <v>2.0</v>
      </c>
      <c r="G114" s="11">
        <v>60.041</v>
      </c>
      <c r="H114" s="8"/>
      <c r="I114" s="6">
        <v>2192.1</v>
      </c>
      <c r="J114" s="10">
        <f>average(I113:I114)</f>
        <v>2191.9</v>
      </c>
      <c r="M114" s="13"/>
    </row>
    <row r="115">
      <c r="A115" s="5"/>
      <c r="D115" s="12"/>
      <c r="G115" s="11"/>
      <c r="H115" s="8"/>
      <c r="M115" s="13"/>
    </row>
    <row r="116">
      <c r="A116" s="5">
        <v>46145.0</v>
      </c>
      <c r="C116" s="6" t="s">
        <v>11</v>
      </c>
      <c r="D116" s="12">
        <v>40.0</v>
      </c>
      <c r="E116" s="10">
        <f>55.036+180</f>
        <v>235.036</v>
      </c>
      <c r="F116" s="6">
        <v>1.0</v>
      </c>
      <c r="G116" s="11">
        <v>60.08</v>
      </c>
      <c r="H116" s="8"/>
      <c r="I116" s="6">
        <v>2203.2</v>
      </c>
      <c r="M116" s="13"/>
    </row>
    <row r="117">
      <c r="A117" s="5">
        <v>46145.0</v>
      </c>
      <c r="C117" s="6" t="s">
        <v>11</v>
      </c>
      <c r="D117" s="12">
        <v>40.0</v>
      </c>
      <c r="F117" s="6">
        <v>2.0</v>
      </c>
      <c r="G117" s="11">
        <v>60.062</v>
      </c>
      <c r="H117" s="8"/>
      <c r="I117" s="6">
        <v>2204.5</v>
      </c>
      <c r="J117" s="10">
        <f>average(I116:I117)</f>
        <v>2203.85</v>
      </c>
      <c r="M117" s="13"/>
    </row>
    <row r="118">
      <c r="A118" s="5"/>
      <c r="D118" s="12"/>
      <c r="G118" s="11"/>
      <c r="H118" s="8"/>
      <c r="M118" s="13"/>
    </row>
    <row r="119">
      <c r="A119" s="5">
        <v>46145.0</v>
      </c>
      <c r="C119" s="6" t="s">
        <v>11</v>
      </c>
      <c r="D119" s="12">
        <v>41.0</v>
      </c>
      <c r="E119" s="10">
        <f>54.641+180</f>
        <v>234.641</v>
      </c>
      <c r="F119" s="6">
        <v>1.0</v>
      </c>
      <c r="G119" s="11">
        <v>60.057</v>
      </c>
      <c r="H119" s="8"/>
      <c r="I119" s="6">
        <v>2173.7</v>
      </c>
      <c r="M119" s="13"/>
    </row>
    <row r="120">
      <c r="A120" s="5">
        <v>46145.0</v>
      </c>
      <c r="C120" s="6" t="s">
        <v>11</v>
      </c>
      <c r="D120" s="12">
        <v>41.0</v>
      </c>
      <c r="F120" s="6">
        <v>2.0</v>
      </c>
      <c r="G120" s="11">
        <v>60.034</v>
      </c>
      <c r="H120" s="8"/>
      <c r="I120" s="6">
        <v>2173.4</v>
      </c>
      <c r="J120" s="10">
        <f>average(I119:I120)</f>
        <v>2173.55</v>
      </c>
      <c r="M120" s="13"/>
    </row>
    <row r="121">
      <c r="A121" s="5"/>
      <c r="D121" s="12"/>
      <c r="G121" s="11"/>
      <c r="H121" s="8"/>
      <c r="M121" s="13"/>
    </row>
    <row r="122">
      <c r="A122" s="5">
        <v>46145.0</v>
      </c>
      <c r="B122" s="6">
        <v>4.0</v>
      </c>
      <c r="C122" s="6" t="s">
        <v>11</v>
      </c>
      <c r="D122" s="14">
        <v>42.0</v>
      </c>
      <c r="F122" s="6">
        <v>1.0</v>
      </c>
      <c r="G122" s="11">
        <v>60.037</v>
      </c>
      <c r="H122" s="8"/>
      <c r="I122" s="6">
        <v>2199.4</v>
      </c>
      <c r="M122" s="13"/>
    </row>
    <row r="123">
      <c r="A123" s="5">
        <v>46145.0</v>
      </c>
      <c r="C123" s="6" t="s">
        <v>11</v>
      </c>
      <c r="D123" s="14">
        <v>42.0</v>
      </c>
      <c r="F123" s="6">
        <v>2.0</v>
      </c>
      <c r="G123" s="11">
        <v>60.057</v>
      </c>
      <c r="H123" s="8"/>
      <c r="I123" s="6">
        <v>2206.6</v>
      </c>
      <c r="M123" s="13"/>
    </row>
    <row r="124">
      <c r="A124" s="5">
        <v>46145.0</v>
      </c>
      <c r="C124" s="6" t="s">
        <v>11</v>
      </c>
      <c r="D124" s="14">
        <v>42.0</v>
      </c>
      <c r="F124" s="6">
        <v>3.0</v>
      </c>
      <c r="G124" s="11">
        <v>60.075</v>
      </c>
      <c r="H124" s="8"/>
      <c r="I124" s="6">
        <v>2209.3</v>
      </c>
      <c r="J124" s="10">
        <f>average(I123:I124)</f>
        <v>2207.95</v>
      </c>
      <c r="M124" s="13"/>
    </row>
    <row r="125">
      <c r="A125" s="5">
        <v>46145.0</v>
      </c>
      <c r="C125" s="6" t="s">
        <v>11</v>
      </c>
      <c r="D125" s="12">
        <v>43.0</v>
      </c>
      <c r="E125" s="10">
        <f>172.16+180</f>
        <v>352.16</v>
      </c>
      <c r="F125" s="6">
        <v>1.0</v>
      </c>
      <c r="G125" s="11">
        <v>60.086</v>
      </c>
      <c r="H125" s="8"/>
      <c r="I125" s="6">
        <v>2207.2</v>
      </c>
      <c r="M125" s="13"/>
    </row>
    <row r="126">
      <c r="A126" s="5">
        <v>46145.0</v>
      </c>
      <c r="C126" s="6" t="s">
        <v>11</v>
      </c>
      <c r="D126" s="12">
        <v>43.0</v>
      </c>
      <c r="F126" s="6">
        <v>2.0</v>
      </c>
      <c r="G126" s="11">
        <v>60.097</v>
      </c>
      <c r="H126" s="8"/>
      <c r="I126" s="6">
        <v>2209.9</v>
      </c>
      <c r="J126" s="10">
        <f>average(I125:I126)</f>
        <v>2208.55</v>
      </c>
      <c r="M126" s="13"/>
    </row>
    <row r="127">
      <c r="A127" s="5"/>
      <c r="D127" s="15"/>
      <c r="G127" s="11"/>
      <c r="H127" s="8"/>
      <c r="M127" s="13"/>
    </row>
    <row r="128">
      <c r="A128" s="5">
        <v>46145.0</v>
      </c>
      <c r="C128" s="6" t="s">
        <v>11</v>
      </c>
      <c r="D128" s="6">
        <v>44.0</v>
      </c>
      <c r="E128" s="10">
        <f>47.962+180</f>
        <v>227.962</v>
      </c>
      <c r="F128" s="6">
        <v>1.0</v>
      </c>
      <c r="G128" s="11">
        <v>60.048</v>
      </c>
      <c r="H128" s="8"/>
      <c r="I128" s="6">
        <v>2211.1</v>
      </c>
      <c r="M128" s="13"/>
    </row>
    <row r="129">
      <c r="A129" s="5">
        <v>46145.0</v>
      </c>
      <c r="C129" s="6" t="s">
        <v>11</v>
      </c>
      <c r="D129" s="6">
        <v>44.0</v>
      </c>
      <c r="F129" s="6">
        <v>2.0</v>
      </c>
      <c r="G129" s="11">
        <v>60.039</v>
      </c>
      <c r="H129" s="8"/>
      <c r="I129" s="6">
        <v>2212.6</v>
      </c>
      <c r="J129" s="10">
        <f>average(I128:I129)</f>
        <v>2211.85</v>
      </c>
      <c r="M129" s="13"/>
    </row>
    <row r="130">
      <c r="A130" s="5"/>
      <c r="G130" s="11"/>
      <c r="H130" s="8"/>
      <c r="M130" s="13"/>
    </row>
    <row r="131">
      <c r="A131" s="5">
        <v>46145.0</v>
      </c>
      <c r="C131" s="6" t="s">
        <v>11</v>
      </c>
      <c r="D131" s="6">
        <v>45.0</v>
      </c>
      <c r="E131" s="10">
        <f>61.003+180</f>
        <v>241.003</v>
      </c>
      <c r="F131" s="6">
        <v>1.0</v>
      </c>
      <c r="G131" s="11">
        <v>60.01</v>
      </c>
      <c r="H131" s="8"/>
      <c r="I131" s="6">
        <v>2220.4</v>
      </c>
      <c r="M131" s="13"/>
    </row>
    <row r="132">
      <c r="A132" s="5">
        <v>46145.0</v>
      </c>
      <c r="C132" s="6" t="s">
        <v>11</v>
      </c>
      <c r="D132" s="6">
        <v>45.0</v>
      </c>
      <c r="F132" s="6">
        <v>2.0</v>
      </c>
      <c r="G132" s="11">
        <v>60.081</v>
      </c>
      <c r="H132" s="8"/>
      <c r="I132" s="6">
        <v>2213.9</v>
      </c>
      <c r="M132" s="13"/>
    </row>
    <row r="133">
      <c r="A133" s="5">
        <v>46145.0</v>
      </c>
      <c r="C133" s="6" t="s">
        <v>11</v>
      </c>
      <c r="D133" s="6">
        <v>45.0</v>
      </c>
      <c r="F133" s="6">
        <v>3.0</v>
      </c>
      <c r="G133" s="11">
        <v>60.095</v>
      </c>
      <c r="H133" s="8"/>
      <c r="I133" s="6">
        <v>2223.1</v>
      </c>
      <c r="J133" s="10">
        <f>average(I131,I133)</f>
        <v>2221.75</v>
      </c>
      <c r="M133" s="13"/>
    </row>
    <row r="134">
      <c r="A134" s="5">
        <v>46145.0</v>
      </c>
      <c r="C134" s="6" t="s">
        <v>11</v>
      </c>
      <c r="D134" s="6">
        <v>46.0</v>
      </c>
      <c r="E134" s="10">
        <f>134.26+180</f>
        <v>314.26</v>
      </c>
      <c r="F134" s="6">
        <v>1.0</v>
      </c>
      <c r="G134" s="11">
        <v>60.042</v>
      </c>
      <c r="H134" s="8"/>
      <c r="I134" s="6">
        <v>2211.3</v>
      </c>
      <c r="M134" s="13"/>
    </row>
    <row r="135">
      <c r="A135" s="5">
        <v>46145.0</v>
      </c>
      <c r="C135" s="6" t="s">
        <v>11</v>
      </c>
      <c r="D135" s="6">
        <v>46.0</v>
      </c>
      <c r="F135" s="6">
        <v>2.0</v>
      </c>
      <c r="G135" s="11">
        <v>60.087</v>
      </c>
      <c r="H135" s="8"/>
      <c r="I135" s="6">
        <v>2212.4</v>
      </c>
      <c r="J135" s="10">
        <f>average(I134:I135)</f>
        <v>2211.85</v>
      </c>
      <c r="M135" s="13"/>
    </row>
    <row r="136">
      <c r="A136" s="5"/>
      <c r="D136" s="15"/>
      <c r="G136" s="11"/>
      <c r="H136" s="8"/>
      <c r="M136" s="13"/>
    </row>
    <row r="137">
      <c r="A137" s="5">
        <v>46145.0</v>
      </c>
      <c r="C137" s="6" t="s">
        <v>11</v>
      </c>
      <c r="D137" s="6">
        <v>47.0</v>
      </c>
      <c r="E137" s="10">
        <f>56.6+180</f>
        <v>236.6</v>
      </c>
      <c r="F137" s="6">
        <v>1.0</v>
      </c>
      <c r="G137" s="11">
        <v>60.008</v>
      </c>
      <c r="H137" s="8"/>
      <c r="I137" s="6">
        <v>2182.0</v>
      </c>
      <c r="M137" s="13"/>
    </row>
    <row r="138">
      <c r="A138" s="5">
        <v>46145.0</v>
      </c>
      <c r="C138" s="6" t="s">
        <v>11</v>
      </c>
      <c r="D138" s="6">
        <v>47.0</v>
      </c>
      <c r="F138" s="6">
        <v>2.0</v>
      </c>
      <c r="G138" s="11">
        <v>60.067</v>
      </c>
      <c r="H138" s="8"/>
      <c r="I138" s="6">
        <v>2176.6</v>
      </c>
      <c r="M138" s="13"/>
    </row>
    <row r="139">
      <c r="A139" s="5">
        <v>46145.0</v>
      </c>
      <c r="C139" s="6" t="s">
        <v>11</v>
      </c>
      <c r="D139" s="6">
        <v>47.0</v>
      </c>
      <c r="F139" s="6">
        <v>3.0</v>
      </c>
      <c r="G139" s="11">
        <v>60.073</v>
      </c>
      <c r="H139" s="8"/>
      <c r="I139" s="6">
        <v>2179.8</v>
      </c>
      <c r="J139" s="10">
        <f>average(I138:I139)</f>
        <v>2178.2</v>
      </c>
      <c r="M139" s="13"/>
    </row>
    <row r="140">
      <c r="A140" s="5">
        <v>46145.0</v>
      </c>
      <c r="C140" s="6" t="s">
        <v>11</v>
      </c>
      <c r="D140" s="6">
        <v>49.0</v>
      </c>
      <c r="E140" s="10">
        <f>50.47+180</f>
        <v>230.47</v>
      </c>
      <c r="F140" s="6">
        <v>1.0</v>
      </c>
      <c r="G140" s="11">
        <v>60.037</v>
      </c>
      <c r="H140" s="8"/>
      <c r="I140" s="6">
        <v>2179.6</v>
      </c>
      <c r="M140" s="13"/>
    </row>
    <row r="141">
      <c r="A141" s="5">
        <v>46145.0</v>
      </c>
      <c r="C141" s="6" t="s">
        <v>11</v>
      </c>
      <c r="D141" s="6">
        <v>49.0</v>
      </c>
      <c r="F141" s="6">
        <v>2.0</v>
      </c>
      <c r="G141" s="11">
        <v>60.086</v>
      </c>
      <c r="H141" s="8"/>
      <c r="I141" s="6">
        <v>2180.4</v>
      </c>
      <c r="J141" s="10">
        <f>average(I140:I141)</f>
        <v>2180</v>
      </c>
      <c r="M141" s="13"/>
    </row>
    <row r="142">
      <c r="A142" s="5"/>
      <c r="G142" s="11"/>
      <c r="H142" s="8"/>
      <c r="M142" s="13"/>
    </row>
    <row r="143">
      <c r="A143" s="5">
        <v>46145.0</v>
      </c>
      <c r="C143" s="6" t="s">
        <v>11</v>
      </c>
      <c r="D143" s="6">
        <v>50.0</v>
      </c>
      <c r="E143" s="10">
        <f>77.986+180</f>
        <v>257.986</v>
      </c>
      <c r="F143" s="6">
        <v>1.0</v>
      </c>
      <c r="G143" s="11">
        <v>60.007</v>
      </c>
      <c r="H143" s="8"/>
      <c r="I143" s="6">
        <v>2212.4</v>
      </c>
      <c r="M143" s="13"/>
    </row>
    <row r="144">
      <c r="A144" s="5">
        <v>46145.0</v>
      </c>
      <c r="C144" s="6" t="s">
        <v>11</v>
      </c>
      <c r="D144" s="6">
        <v>50.0</v>
      </c>
      <c r="F144" s="6">
        <v>2.0</v>
      </c>
      <c r="G144" s="11">
        <v>60.031</v>
      </c>
      <c r="H144" s="8"/>
      <c r="I144" s="6">
        <v>2210.8</v>
      </c>
      <c r="J144" s="10">
        <f>average(I143:I144)</f>
        <v>2211.6</v>
      </c>
      <c r="M144" s="13"/>
    </row>
    <row r="145">
      <c r="A145" s="5"/>
      <c r="G145" s="11"/>
      <c r="H145" s="8"/>
      <c r="M145" s="13"/>
    </row>
    <row r="146">
      <c r="A146" s="5">
        <v>46145.0</v>
      </c>
      <c r="C146" s="6" t="s">
        <v>11</v>
      </c>
      <c r="D146" s="6">
        <v>51.0</v>
      </c>
      <c r="E146" s="10">
        <f>44.546+180</f>
        <v>224.546</v>
      </c>
      <c r="F146" s="6">
        <v>1.0</v>
      </c>
      <c r="G146" s="11">
        <v>60.0</v>
      </c>
      <c r="H146" s="8"/>
      <c r="I146" s="6">
        <v>2212.1</v>
      </c>
      <c r="M146" s="13"/>
    </row>
    <row r="147">
      <c r="A147" s="5">
        <v>46145.0</v>
      </c>
      <c r="C147" s="6" t="s">
        <v>11</v>
      </c>
      <c r="D147" s="6">
        <v>51.0</v>
      </c>
      <c r="F147" s="6">
        <v>2.0</v>
      </c>
      <c r="G147" s="11">
        <v>60.0</v>
      </c>
      <c r="I147" s="6">
        <v>2203.6</v>
      </c>
      <c r="M147" s="13"/>
    </row>
    <row r="148">
      <c r="A148" s="5">
        <v>46145.0</v>
      </c>
      <c r="C148" s="6" t="s">
        <v>11</v>
      </c>
      <c r="D148" s="6">
        <v>51.0</v>
      </c>
      <c r="F148" s="6">
        <v>3.0</v>
      </c>
      <c r="G148" s="11">
        <v>60.06</v>
      </c>
      <c r="I148" s="6">
        <v>2210.4</v>
      </c>
      <c r="J148" s="10">
        <f>average(I146,I148)</f>
        <v>2211.25</v>
      </c>
      <c r="M148" s="13"/>
    </row>
    <row r="149">
      <c r="A149" s="5">
        <v>46145.0</v>
      </c>
      <c r="C149" s="6" t="s">
        <v>11</v>
      </c>
      <c r="D149" s="6">
        <v>52.0</v>
      </c>
      <c r="E149" s="10">
        <f>56.643+180</f>
        <v>236.643</v>
      </c>
      <c r="F149" s="6">
        <v>1.0</v>
      </c>
      <c r="G149" s="11">
        <v>60.017</v>
      </c>
      <c r="I149" s="6">
        <v>2213.7</v>
      </c>
      <c r="M149" s="13"/>
    </row>
    <row r="150">
      <c r="A150" s="5">
        <v>46145.0</v>
      </c>
      <c r="C150" s="6" t="s">
        <v>11</v>
      </c>
      <c r="D150" s="6">
        <v>52.0</v>
      </c>
      <c r="F150" s="6">
        <v>2.0</v>
      </c>
      <c r="G150" s="11">
        <v>60.025</v>
      </c>
      <c r="H150" s="8"/>
      <c r="I150" s="6">
        <v>2212.6</v>
      </c>
      <c r="J150" s="10">
        <f>average(I149:I150)</f>
        <v>2213.15</v>
      </c>
      <c r="M150" s="13"/>
    </row>
    <row r="151">
      <c r="A151" s="5">
        <v>46145.0</v>
      </c>
      <c r="C151" s="6" t="s">
        <v>11</v>
      </c>
      <c r="D151" s="6">
        <v>52.0</v>
      </c>
      <c r="F151" s="6">
        <v>3.0</v>
      </c>
      <c r="G151" s="11">
        <v>60.033</v>
      </c>
      <c r="H151" s="8"/>
      <c r="M151" s="13"/>
    </row>
    <row r="152">
      <c r="A152" s="5">
        <v>46145.0</v>
      </c>
      <c r="C152" s="6" t="s">
        <v>11</v>
      </c>
      <c r="G152" s="11"/>
      <c r="H152" s="8"/>
      <c r="M152" s="13"/>
    </row>
    <row r="153">
      <c r="A153" s="5">
        <v>46145.0</v>
      </c>
      <c r="C153" s="6" t="s">
        <v>11</v>
      </c>
      <c r="G153" s="11"/>
      <c r="H153" s="8"/>
      <c r="M153" s="13"/>
    </row>
    <row r="154">
      <c r="A154" s="5">
        <v>46145.0</v>
      </c>
      <c r="C154" s="6" t="s">
        <v>11</v>
      </c>
      <c r="G154" s="11"/>
      <c r="H154" s="8"/>
      <c r="M154" s="13"/>
    </row>
    <row r="155">
      <c r="A155" s="5">
        <v>46145.0</v>
      </c>
      <c r="C155" s="6" t="s">
        <v>11</v>
      </c>
      <c r="G155" s="11"/>
      <c r="H155" s="8"/>
      <c r="M155" s="13"/>
    </row>
    <row r="156">
      <c r="A156" s="5"/>
      <c r="G156" s="11"/>
      <c r="H156" s="8"/>
      <c r="M156" s="13"/>
    </row>
    <row r="157">
      <c r="A157" s="5"/>
      <c r="G157" s="11"/>
      <c r="H157" s="8"/>
    </row>
    <row r="158">
      <c r="A158" s="5"/>
      <c r="G158" s="11"/>
      <c r="H158" s="8"/>
    </row>
    <row r="159">
      <c r="A159" s="16"/>
      <c r="B159" s="17"/>
      <c r="C159" s="18"/>
      <c r="D159" s="17"/>
      <c r="E159" s="17"/>
      <c r="F159" s="6">
        <v>2.0</v>
      </c>
      <c r="G159" s="19"/>
      <c r="H159" s="20"/>
      <c r="I159" s="17"/>
      <c r="J159" s="17"/>
      <c r="K159" s="17"/>
      <c r="L159" s="17"/>
    </row>
    <row r="160">
      <c r="A160" s="5"/>
      <c r="F160" s="6">
        <v>3.0</v>
      </c>
      <c r="G160" s="11"/>
      <c r="H160" s="8"/>
    </row>
    <row r="161">
      <c r="A161" s="5"/>
      <c r="F161" s="6">
        <v>1.0</v>
      </c>
      <c r="G161" s="11"/>
      <c r="H161" s="8"/>
    </row>
    <row r="162">
      <c r="A162" s="5"/>
      <c r="D162" s="1"/>
      <c r="F162" s="6">
        <v>2.0</v>
      </c>
      <c r="G162" s="11"/>
      <c r="H162" s="8"/>
    </row>
    <row r="163">
      <c r="A163" s="5"/>
      <c r="D163" s="1"/>
      <c r="F163" s="6">
        <v>3.0</v>
      </c>
      <c r="G163" s="11"/>
      <c r="H163" s="8"/>
    </row>
    <row r="164">
      <c r="A164" s="5"/>
      <c r="F164" s="6">
        <v>1.0</v>
      </c>
      <c r="G164" s="11"/>
      <c r="H164" s="8"/>
    </row>
    <row r="165">
      <c r="A165" s="5"/>
      <c r="F165" s="6">
        <v>2.0</v>
      </c>
      <c r="G165" s="11"/>
      <c r="H165" s="8"/>
      <c r="R165" s="21"/>
      <c r="S165" s="21"/>
      <c r="T165" s="21"/>
      <c r="U165" s="21"/>
      <c r="V165" s="21"/>
      <c r="W165" s="21"/>
      <c r="X165" s="21"/>
      <c r="Y165" s="21"/>
    </row>
    <row r="166">
      <c r="A166" s="5"/>
      <c r="F166" s="6">
        <v>3.0</v>
      </c>
      <c r="G166" s="11"/>
      <c r="H166" s="8"/>
    </row>
    <row r="167">
      <c r="A167" s="5"/>
      <c r="G167" s="11"/>
      <c r="H167" s="8"/>
    </row>
    <row r="168">
      <c r="A168" s="5"/>
      <c r="G168" s="11"/>
      <c r="H168" s="8"/>
    </row>
    <row r="169">
      <c r="A169" s="5"/>
      <c r="G169" s="11"/>
      <c r="H169" s="8"/>
    </row>
    <row r="170">
      <c r="A170" s="5"/>
      <c r="G170" s="11"/>
      <c r="H170" s="8"/>
    </row>
    <row r="171">
      <c r="A171" s="5"/>
      <c r="G171" s="11"/>
      <c r="H171" s="8"/>
    </row>
    <row r="172">
      <c r="A172" s="5"/>
      <c r="G172" s="11"/>
      <c r="H172" s="8"/>
    </row>
    <row r="173">
      <c r="A173" s="5"/>
      <c r="G173" s="11"/>
      <c r="H173" s="8"/>
    </row>
    <row r="174">
      <c r="A174" s="5"/>
      <c r="G174" s="11"/>
      <c r="H174" s="8"/>
    </row>
    <row r="175">
      <c r="A175" s="5"/>
      <c r="G175" s="11"/>
      <c r="H175" s="8"/>
    </row>
    <row r="176">
      <c r="A176" s="5"/>
      <c r="G176" s="11"/>
      <c r="H176" s="8"/>
    </row>
    <row r="177">
      <c r="A177" s="5"/>
      <c r="G177" s="11"/>
      <c r="H177" s="8"/>
    </row>
    <row r="178">
      <c r="A178" s="5"/>
      <c r="G178" s="11"/>
      <c r="H178" s="8"/>
    </row>
    <row r="179">
      <c r="A179" s="5"/>
      <c r="G179" s="11"/>
      <c r="H179" s="8"/>
    </row>
    <row r="180">
      <c r="A180" s="5"/>
      <c r="G180" s="11"/>
      <c r="H180" s="8"/>
    </row>
    <row r="181">
      <c r="A181" s="5"/>
      <c r="G181" s="11"/>
      <c r="H181" s="8"/>
    </row>
    <row r="182">
      <c r="A182" s="5"/>
      <c r="G182" s="11"/>
      <c r="H182" s="8"/>
    </row>
    <row r="183">
      <c r="A183" s="5"/>
      <c r="G183" s="11"/>
      <c r="H183" s="8"/>
    </row>
    <row r="184">
      <c r="A184" s="5"/>
      <c r="G184" s="11"/>
      <c r="H184" s="8"/>
    </row>
    <row r="185">
      <c r="A185" s="5"/>
      <c r="G185" s="11"/>
      <c r="H185" s="8"/>
    </row>
    <row r="186">
      <c r="A186" s="5"/>
      <c r="G186" s="11"/>
      <c r="H186" s="8"/>
    </row>
    <row r="187">
      <c r="A187" s="5"/>
      <c r="G187" s="11"/>
      <c r="H187" s="8"/>
    </row>
    <row r="188">
      <c r="A188" s="5"/>
      <c r="D188" s="1"/>
      <c r="G188" s="11"/>
      <c r="H188" s="8"/>
    </row>
    <row r="189">
      <c r="A189" s="5"/>
      <c r="D189" s="1"/>
      <c r="G189" s="11"/>
      <c r="H189" s="8"/>
    </row>
    <row r="190">
      <c r="A190" s="5"/>
      <c r="G190" s="11"/>
      <c r="H190" s="8"/>
    </row>
    <row r="191">
      <c r="A191" s="5"/>
      <c r="G191" s="11"/>
      <c r="H191" s="8"/>
    </row>
    <row r="192">
      <c r="A192" s="5"/>
      <c r="G192" s="11"/>
      <c r="H192" s="8"/>
    </row>
    <row r="193">
      <c r="A193" s="5"/>
      <c r="G193" s="11"/>
      <c r="H193" s="8"/>
    </row>
    <row r="194">
      <c r="A194" s="5"/>
      <c r="G194" s="11"/>
      <c r="H194" s="8"/>
    </row>
    <row r="195">
      <c r="A195" s="5"/>
      <c r="G195" s="11"/>
      <c r="H195" s="8"/>
    </row>
    <row r="196">
      <c r="A196" s="5"/>
      <c r="G196" s="11"/>
      <c r="H196" s="8"/>
    </row>
    <row r="197">
      <c r="A197" s="5"/>
      <c r="G197" s="11"/>
      <c r="H197" s="8"/>
    </row>
    <row r="198">
      <c r="A198" s="5"/>
      <c r="G198" s="11"/>
      <c r="H198" s="8"/>
    </row>
    <row r="199">
      <c r="A199" s="5"/>
      <c r="G199" s="11"/>
      <c r="H199" s="8"/>
    </row>
    <row r="200">
      <c r="A200" s="5"/>
      <c r="G200" s="11"/>
      <c r="H200" s="8"/>
    </row>
    <row r="201">
      <c r="A201" s="5"/>
      <c r="G201" s="11"/>
      <c r="H201" s="8"/>
    </row>
    <row r="202">
      <c r="A202" s="5"/>
      <c r="G202" s="11"/>
      <c r="H202" s="8"/>
    </row>
    <row r="203">
      <c r="A203" s="5"/>
      <c r="G203" s="11"/>
      <c r="H203" s="8"/>
    </row>
    <row r="204">
      <c r="A204" s="5"/>
      <c r="G204" s="11"/>
      <c r="H204" s="8"/>
    </row>
    <row r="205">
      <c r="A205" s="5"/>
      <c r="G205" s="11"/>
      <c r="H205" s="8"/>
    </row>
    <row r="206">
      <c r="A206" s="5"/>
      <c r="G206" s="11"/>
      <c r="H206" s="8"/>
    </row>
    <row r="207">
      <c r="A207" s="5"/>
      <c r="G207" s="11"/>
      <c r="H207" s="8"/>
    </row>
    <row r="208">
      <c r="A208" s="5"/>
      <c r="G208" s="11"/>
      <c r="H208" s="8"/>
    </row>
    <row r="209">
      <c r="A209" s="5"/>
      <c r="G209" s="11"/>
      <c r="H209" s="8"/>
    </row>
    <row r="210">
      <c r="A210" s="5"/>
      <c r="G210" s="11"/>
      <c r="H210" s="8"/>
    </row>
    <row r="211">
      <c r="A211" s="5"/>
      <c r="G211" s="11"/>
      <c r="H211" s="8"/>
    </row>
    <row r="212">
      <c r="A212" s="5"/>
      <c r="G212" s="11"/>
      <c r="H212" s="8"/>
    </row>
    <row r="213">
      <c r="A213" s="5"/>
      <c r="G213" s="11"/>
      <c r="H213" s="8"/>
    </row>
    <row r="214">
      <c r="A214" s="5"/>
      <c r="G214" s="11"/>
      <c r="H214" s="8"/>
      <c r="M214" s="13"/>
    </row>
    <row r="215">
      <c r="A215" s="5"/>
      <c r="G215" s="11"/>
      <c r="H215" s="8"/>
      <c r="M215" s="13"/>
    </row>
    <row r="216">
      <c r="A216" s="5"/>
      <c r="G216" s="11"/>
      <c r="H216" s="8"/>
      <c r="M216" s="13"/>
    </row>
    <row r="217">
      <c r="A217" s="5"/>
      <c r="G217" s="11"/>
      <c r="H217" s="8"/>
      <c r="M217" s="13"/>
    </row>
    <row r="218">
      <c r="A218" s="5"/>
      <c r="G218" s="11"/>
      <c r="H218" s="8"/>
      <c r="M218" s="13"/>
    </row>
    <row r="219">
      <c r="A219" s="5"/>
      <c r="G219" s="11"/>
      <c r="H219" s="8"/>
      <c r="M219" s="13"/>
    </row>
    <row r="220">
      <c r="A220" s="5"/>
      <c r="G220" s="11"/>
      <c r="H220" s="8"/>
      <c r="M220" s="13"/>
    </row>
    <row r="221">
      <c r="A221" s="5"/>
      <c r="G221" s="11"/>
      <c r="H221" s="8"/>
      <c r="M221" s="13"/>
    </row>
    <row r="222">
      <c r="A222" s="5"/>
      <c r="G222" s="11"/>
      <c r="H222" s="8"/>
      <c r="M222" s="13"/>
    </row>
    <row r="223">
      <c r="A223" s="5"/>
      <c r="G223" s="11"/>
      <c r="H223" s="8"/>
      <c r="M223" s="13"/>
    </row>
    <row r="224">
      <c r="A224" s="5"/>
      <c r="G224" s="11"/>
      <c r="H224" s="8"/>
      <c r="M224" s="13"/>
    </row>
    <row r="225">
      <c r="A225" s="5"/>
      <c r="G225" s="11"/>
      <c r="H225" s="8"/>
      <c r="M225" s="13"/>
    </row>
    <row r="226">
      <c r="A226" s="5"/>
      <c r="G226" s="11"/>
      <c r="H226" s="8"/>
      <c r="M226" s="13"/>
    </row>
    <row r="227">
      <c r="A227" s="5"/>
      <c r="G227" s="11"/>
      <c r="H227" s="8"/>
      <c r="M227" s="13"/>
    </row>
    <row r="228">
      <c r="A228" s="5"/>
      <c r="G228" s="11"/>
      <c r="H228" s="8"/>
      <c r="M228" s="13"/>
    </row>
    <row r="229">
      <c r="A229" s="5"/>
      <c r="G229" s="11"/>
      <c r="H229" s="8"/>
      <c r="M229" s="13"/>
    </row>
    <row r="230">
      <c r="A230" s="5"/>
      <c r="G230" s="11"/>
      <c r="H230" s="8"/>
      <c r="M230" s="13"/>
    </row>
    <row r="231">
      <c r="A231" s="5"/>
      <c r="G231" s="11"/>
      <c r="H231" s="8"/>
      <c r="M231" s="13"/>
    </row>
    <row r="232">
      <c r="A232" s="5"/>
      <c r="G232" s="11"/>
      <c r="H232" s="8"/>
      <c r="M232" s="13"/>
    </row>
    <row r="233">
      <c r="A233" s="5"/>
      <c r="G233" s="11"/>
      <c r="H233" s="8"/>
      <c r="M233" s="13"/>
    </row>
    <row r="234">
      <c r="A234" s="5"/>
      <c r="G234" s="11"/>
      <c r="H234" s="8"/>
      <c r="M234" s="13"/>
    </row>
    <row r="235">
      <c r="A235" s="5"/>
      <c r="G235" s="11"/>
      <c r="H235" s="8"/>
      <c r="M235" s="13"/>
    </row>
    <row r="236">
      <c r="A236" s="5"/>
      <c r="G236" s="11"/>
      <c r="H236" s="8"/>
      <c r="M236" s="13"/>
    </row>
    <row r="237">
      <c r="A237" s="5"/>
      <c r="G237" s="11"/>
      <c r="H237" s="8"/>
      <c r="M237" s="13"/>
    </row>
    <row r="238">
      <c r="A238" s="5"/>
      <c r="G238" s="11"/>
      <c r="H238" s="8"/>
      <c r="M238" s="13"/>
    </row>
    <row r="239">
      <c r="A239" s="5"/>
      <c r="G239" s="11"/>
      <c r="H239" s="8"/>
      <c r="M239" s="13"/>
    </row>
    <row r="240">
      <c r="A240" s="5"/>
      <c r="G240" s="11"/>
      <c r="H240" s="8"/>
      <c r="M240" s="13"/>
    </row>
    <row r="241">
      <c r="A241" s="5"/>
      <c r="G241" s="11"/>
      <c r="H241" s="8"/>
      <c r="M241" s="13"/>
    </row>
    <row r="242">
      <c r="A242" s="5"/>
      <c r="G242" s="11"/>
      <c r="H242" s="8"/>
      <c r="M242" s="13"/>
    </row>
    <row r="243">
      <c r="A243" s="5"/>
      <c r="G243" s="11"/>
      <c r="H243" s="8"/>
      <c r="M243" s="13"/>
    </row>
    <row r="244">
      <c r="A244" s="5"/>
      <c r="G244" s="11"/>
      <c r="H244" s="8"/>
      <c r="M244" s="13"/>
    </row>
    <row r="245">
      <c r="A245" s="5"/>
      <c r="G245" s="11"/>
      <c r="H245" s="8"/>
      <c r="M245" s="13"/>
    </row>
    <row r="246">
      <c r="A246" s="5"/>
      <c r="G246" s="11"/>
      <c r="H246" s="8"/>
      <c r="M246" s="13"/>
    </row>
    <row r="247">
      <c r="A247" s="5"/>
      <c r="G247" s="11"/>
      <c r="H247" s="8"/>
      <c r="M247" s="13"/>
    </row>
    <row r="248">
      <c r="A248" s="5"/>
      <c r="G248" s="11"/>
      <c r="H248" s="8"/>
      <c r="M248" s="13"/>
    </row>
    <row r="249">
      <c r="A249" s="5"/>
      <c r="G249" s="11"/>
      <c r="H249" s="8"/>
      <c r="M249" s="13"/>
    </row>
    <row r="250">
      <c r="A250" s="5"/>
      <c r="D250" s="1"/>
      <c r="G250" s="11"/>
      <c r="H250" s="8"/>
      <c r="M250" s="13"/>
    </row>
    <row r="251">
      <c r="A251" s="5"/>
      <c r="D251" s="1"/>
      <c r="G251" s="11"/>
      <c r="H251" s="8"/>
      <c r="M251" s="13"/>
    </row>
    <row r="252">
      <c r="A252" s="5"/>
      <c r="D252" s="1"/>
      <c r="G252" s="11"/>
      <c r="H252" s="8"/>
      <c r="M252" s="13"/>
    </row>
    <row r="253">
      <c r="A253" s="5"/>
      <c r="G253" s="11"/>
      <c r="H253" s="8"/>
      <c r="M253" s="13"/>
    </row>
    <row r="254">
      <c r="A254" s="5"/>
      <c r="G254" s="11"/>
      <c r="H254" s="8"/>
      <c r="M254" s="13"/>
    </row>
    <row r="255">
      <c r="A255" s="5"/>
      <c r="G255" s="11"/>
      <c r="H255" s="8"/>
      <c r="M255" s="13"/>
    </row>
    <row r="256">
      <c r="A256" s="5"/>
      <c r="D256" s="12"/>
      <c r="G256" s="11"/>
      <c r="H256" s="8"/>
      <c r="M256" s="13"/>
    </row>
    <row r="257">
      <c r="A257" s="5"/>
      <c r="D257" s="12"/>
      <c r="G257" s="11"/>
      <c r="H257" s="8"/>
      <c r="M257" s="13"/>
    </row>
    <row r="258">
      <c r="A258" s="5"/>
      <c r="D258" s="12"/>
      <c r="G258" s="11"/>
      <c r="H258" s="8"/>
      <c r="M258" s="13"/>
    </row>
    <row r="259">
      <c r="A259" s="5"/>
      <c r="D259" s="12"/>
      <c r="G259" s="11"/>
      <c r="H259" s="8"/>
      <c r="M259" s="13"/>
    </row>
    <row r="260">
      <c r="A260" s="5"/>
      <c r="D260" s="12"/>
      <c r="G260" s="11"/>
      <c r="H260" s="8"/>
      <c r="M260" s="13"/>
    </row>
    <row r="261">
      <c r="A261" s="5"/>
      <c r="D261" s="12"/>
      <c r="G261" s="11"/>
      <c r="H261" s="8"/>
      <c r="M261" s="13"/>
    </row>
    <row r="262">
      <c r="A262" s="5"/>
      <c r="D262" s="12"/>
      <c r="G262" s="11"/>
      <c r="H262" s="8"/>
      <c r="M262" s="13"/>
    </row>
    <row r="263">
      <c r="A263" s="5"/>
      <c r="D263" s="12"/>
      <c r="G263" s="11"/>
      <c r="H263" s="8"/>
      <c r="M263" s="13"/>
    </row>
    <row r="264">
      <c r="A264" s="5"/>
      <c r="D264" s="12"/>
      <c r="G264" s="11"/>
      <c r="H264" s="8"/>
      <c r="M264" s="13"/>
    </row>
    <row r="265">
      <c r="A265" s="5"/>
      <c r="G265" s="11"/>
      <c r="H265" s="8"/>
      <c r="M265" s="13"/>
    </row>
    <row r="266">
      <c r="A266" s="5"/>
      <c r="G266" s="11"/>
      <c r="H266" s="8"/>
    </row>
    <row r="267">
      <c r="G267" s="11"/>
      <c r="H267" s="8"/>
    </row>
    <row r="268">
      <c r="A268" s="5"/>
      <c r="G268" s="11"/>
      <c r="H268" s="8"/>
    </row>
    <row r="269">
      <c r="A269" s="5"/>
      <c r="G269" s="11"/>
      <c r="H269" s="8"/>
    </row>
    <row r="270">
      <c r="A270" s="5"/>
      <c r="G270" s="11"/>
      <c r="H270" s="8"/>
    </row>
    <row r="271">
      <c r="A271" s="5"/>
      <c r="G271" s="11"/>
      <c r="H271" s="8"/>
    </row>
    <row r="272">
      <c r="A272" s="5"/>
      <c r="G272" s="11"/>
      <c r="H272" s="8"/>
    </row>
    <row r="273">
      <c r="A273" s="5"/>
      <c r="D273" s="12"/>
      <c r="G273" s="11"/>
      <c r="H273" s="8"/>
    </row>
    <row r="274">
      <c r="A274" s="5"/>
      <c r="D274" s="12"/>
      <c r="G274" s="11"/>
      <c r="H274" s="8"/>
    </row>
    <row r="275">
      <c r="A275" s="5"/>
      <c r="D275" s="12"/>
      <c r="G275" s="11"/>
      <c r="H275" s="8"/>
    </row>
    <row r="276">
      <c r="A276" s="5"/>
      <c r="D276" s="12"/>
      <c r="G276" s="11"/>
      <c r="H276" s="8"/>
    </row>
    <row r="277">
      <c r="A277" s="5"/>
      <c r="D277" s="12"/>
      <c r="G277" s="11"/>
      <c r="H277" s="8"/>
    </row>
    <row r="278">
      <c r="A278" s="5"/>
      <c r="D278" s="12"/>
      <c r="G278" s="11"/>
      <c r="H278" s="8"/>
    </row>
    <row r="279">
      <c r="A279" s="5"/>
      <c r="D279" s="12"/>
      <c r="G279" s="11"/>
      <c r="H279" s="8"/>
    </row>
    <row r="280">
      <c r="A280" s="5"/>
      <c r="D280" s="12"/>
      <c r="G280" s="11"/>
      <c r="H280" s="8"/>
    </row>
    <row r="281">
      <c r="A281" s="5"/>
      <c r="D281" s="12"/>
      <c r="G281" s="11"/>
      <c r="H281" s="8"/>
    </row>
    <row r="282">
      <c r="A282" s="5"/>
      <c r="D282" s="12"/>
      <c r="G282" s="11"/>
      <c r="H282" s="8"/>
    </row>
    <row r="283">
      <c r="A283" s="5"/>
      <c r="D283" s="12"/>
      <c r="G283" s="11"/>
      <c r="H283" s="8"/>
    </row>
    <row r="284">
      <c r="A284" s="5"/>
      <c r="D284" s="12"/>
      <c r="G284" s="11"/>
      <c r="H284" s="8"/>
    </row>
    <row r="285">
      <c r="A285" s="5"/>
      <c r="G285" s="11"/>
      <c r="H285" s="8"/>
      <c r="J285" s="22"/>
    </row>
    <row r="286">
      <c r="A286" s="5"/>
      <c r="G286" s="11"/>
      <c r="H286" s="8"/>
    </row>
    <row r="287">
      <c r="A287" s="5"/>
      <c r="G287" s="11"/>
      <c r="H287" s="8"/>
    </row>
    <row r="288">
      <c r="A288" s="5"/>
      <c r="G288" s="11"/>
      <c r="H288" s="8"/>
    </row>
    <row r="289">
      <c r="A289" s="5"/>
      <c r="D289" s="1"/>
      <c r="G289" s="11"/>
      <c r="H289" s="8"/>
    </row>
    <row r="290">
      <c r="A290" s="5"/>
      <c r="D290" s="1"/>
      <c r="G290" s="11"/>
      <c r="H290" s="8"/>
    </row>
    <row r="291">
      <c r="A291" s="5"/>
      <c r="D291" s="1"/>
      <c r="G291" s="11"/>
      <c r="H291" s="8"/>
    </row>
    <row r="292">
      <c r="A292" s="5"/>
      <c r="G292" s="11"/>
      <c r="H292" s="8"/>
    </row>
    <row r="293">
      <c r="A293" s="5"/>
      <c r="G293" s="11"/>
      <c r="H293" s="8"/>
    </row>
    <row r="294">
      <c r="A294" s="5"/>
      <c r="G294" s="11"/>
      <c r="H294" s="8"/>
    </row>
    <row r="295">
      <c r="A295" s="5"/>
      <c r="G295" s="11"/>
      <c r="H295" s="8"/>
    </row>
    <row r="296">
      <c r="A296" s="5"/>
      <c r="G296" s="11"/>
      <c r="H296" s="8"/>
    </row>
    <row r="297">
      <c r="A297" s="5"/>
      <c r="G297" s="11"/>
      <c r="H297" s="8"/>
    </row>
    <row r="298">
      <c r="A298" s="5"/>
      <c r="G298" s="11"/>
      <c r="H298" s="8"/>
    </row>
    <row r="299">
      <c r="A299" s="5"/>
      <c r="G299" s="11"/>
      <c r="H299" s="8"/>
    </row>
    <row r="300">
      <c r="A300" s="5"/>
      <c r="G300" s="11"/>
      <c r="H300" s="8"/>
    </row>
    <row r="301">
      <c r="A301" s="5"/>
      <c r="G301" s="11"/>
      <c r="H301" s="8"/>
    </row>
    <row r="302">
      <c r="A302" s="5"/>
      <c r="G302" s="11"/>
      <c r="H302" s="8"/>
    </row>
    <row r="303">
      <c r="A303" s="5"/>
      <c r="G303" s="11"/>
      <c r="H303" s="8"/>
    </row>
    <row r="304">
      <c r="A304" s="5"/>
      <c r="G304" s="11"/>
      <c r="H304" s="8"/>
    </row>
    <row r="305">
      <c r="A305" s="5"/>
      <c r="G305" s="11"/>
      <c r="H305" s="8"/>
    </row>
    <row r="306">
      <c r="A306" s="5"/>
      <c r="G306" s="11"/>
      <c r="H306" s="8"/>
    </row>
    <row r="307">
      <c r="A307" s="5"/>
      <c r="G307" s="11"/>
      <c r="H307" s="8"/>
    </row>
    <row r="308">
      <c r="A308" s="5"/>
      <c r="G308" s="11"/>
      <c r="H308" s="8"/>
    </row>
    <row r="309">
      <c r="A309" s="5"/>
      <c r="G309" s="11"/>
      <c r="H309" s="8"/>
    </row>
    <row r="310">
      <c r="A310" s="5"/>
      <c r="G310" s="11"/>
      <c r="H310" s="8"/>
    </row>
    <row r="311">
      <c r="A311" s="5"/>
      <c r="G311" s="11"/>
      <c r="H311" s="8"/>
    </row>
    <row r="312">
      <c r="A312" s="5"/>
      <c r="G312" s="11"/>
      <c r="H312" s="8"/>
    </row>
    <row r="313">
      <c r="A313" s="5"/>
      <c r="G313" s="11"/>
      <c r="H313" s="8"/>
    </row>
    <row r="314">
      <c r="A314" s="5"/>
      <c r="G314" s="11"/>
      <c r="H314" s="8"/>
    </row>
    <row r="315">
      <c r="A315" s="5"/>
      <c r="G315" s="11"/>
      <c r="H315" s="8"/>
    </row>
    <row r="316">
      <c r="A316" s="5"/>
      <c r="G316" s="11"/>
      <c r="H316" s="8"/>
    </row>
    <row r="317">
      <c r="A317" s="5"/>
      <c r="G317" s="11"/>
      <c r="H317" s="8"/>
    </row>
    <row r="318">
      <c r="A318" s="5"/>
      <c r="G318" s="11"/>
      <c r="H318" s="8"/>
    </row>
    <row r="319">
      <c r="A319" s="5"/>
      <c r="G319" s="11"/>
      <c r="H319" s="8"/>
    </row>
    <row r="320">
      <c r="A320" s="5"/>
      <c r="G320" s="11"/>
      <c r="H320" s="8"/>
    </row>
    <row r="321">
      <c r="A321" s="5"/>
      <c r="G321" s="11"/>
      <c r="H321" s="8"/>
    </row>
    <row r="322">
      <c r="A322" s="5"/>
      <c r="G322" s="11"/>
      <c r="H322" s="8"/>
    </row>
    <row r="323">
      <c r="A323" s="5"/>
      <c r="G323" s="11"/>
      <c r="H323" s="8"/>
    </row>
    <row r="324">
      <c r="A324" s="5"/>
      <c r="G324" s="11"/>
      <c r="H324" s="8"/>
    </row>
    <row r="325">
      <c r="A325" s="5"/>
      <c r="G325" s="11"/>
      <c r="H325" s="8"/>
    </row>
    <row r="326">
      <c r="A326" s="5"/>
      <c r="G326" s="11"/>
      <c r="H326" s="8"/>
    </row>
    <row r="327">
      <c r="A327" s="5"/>
      <c r="G327" s="11"/>
      <c r="H327" s="23"/>
    </row>
    <row r="328">
      <c r="G328" s="24"/>
    </row>
    <row r="329">
      <c r="G329" s="24"/>
    </row>
    <row r="330">
      <c r="G330" s="24"/>
    </row>
    <row r="331">
      <c r="G331" s="24"/>
    </row>
    <row r="332">
      <c r="G332" s="24"/>
    </row>
    <row r="333">
      <c r="G333" s="24"/>
    </row>
    <row r="334">
      <c r="A334" s="5"/>
      <c r="G334" s="11"/>
      <c r="H334" s="8"/>
    </row>
    <row r="335">
      <c r="G335" s="24"/>
    </row>
    <row r="336">
      <c r="G336" s="24"/>
    </row>
    <row r="337">
      <c r="A337" s="5"/>
      <c r="G337" s="11"/>
      <c r="H337" s="8"/>
    </row>
    <row r="338">
      <c r="G338" s="24"/>
    </row>
    <row r="339">
      <c r="G339" s="24"/>
    </row>
    <row r="340">
      <c r="A340" s="5"/>
      <c r="G340" s="11"/>
      <c r="H340" s="8"/>
    </row>
    <row r="341">
      <c r="G341" s="24"/>
    </row>
    <row r="342">
      <c r="G342" s="24"/>
    </row>
    <row r="343">
      <c r="G343" s="24"/>
    </row>
    <row r="344">
      <c r="A344" s="5"/>
      <c r="G344" s="11"/>
      <c r="H344" s="8"/>
    </row>
    <row r="345">
      <c r="A345" s="5"/>
      <c r="G345" s="11"/>
      <c r="H345" s="8"/>
    </row>
    <row r="346">
      <c r="A346" s="5"/>
      <c r="G346" s="11"/>
      <c r="H346" s="8"/>
    </row>
    <row r="347">
      <c r="A347" s="5"/>
      <c r="G347" s="11"/>
      <c r="H347" s="8"/>
    </row>
    <row r="348">
      <c r="A348" s="5"/>
      <c r="G348" s="11"/>
      <c r="H348" s="8"/>
    </row>
    <row r="349">
      <c r="A349" s="5"/>
      <c r="G349" s="11"/>
      <c r="H349" s="8"/>
    </row>
    <row r="350">
      <c r="A350" s="5"/>
      <c r="G350" s="11"/>
      <c r="H350" s="8"/>
    </row>
    <row r="351">
      <c r="A351" s="5"/>
      <c r="G351" s="11"/>
      <c r="H351" s="23"/>
    </row>
    <row r="352">
      <c r="A352" s="5"/>
      <c r="G352" s="11"/>
      <c r="H352" s="8"/>
    </row>
    <row r="353">
      <c r="A353" s="5"/>
      <c r="G353" s="11"/>
      <c r="H353" s="8"/>
    </row>
    <row r="354">
      <c r="A354" s="5"/>
      <c r="G354" s="11"/>
      <c r="H354" s="8"/>
    </row>
    <row r="355">
      <c r="A355" s="5"/>
      <c r="D355" s="1"/>
      <c r="G355" s="11"/>
      <c r="H355" s="8"/>
    </row>
    <row r="356">
      <c r="A356" s="5"/>
      <c r="D356" s="1"/>
      <c r="G356" s="11"/>
      <c r="H356" s="8"/>
    </row>
    <row r="357">
      <c r="A357" s="5"/>
      <c r="D357" s="1"/>
      <c r="G357" s="11"/>
      <c r="H357" s="8"/>
    </row>
    <row r="358">
      <c r="A358" s="5"/>
      <c r="G358" s="11"/>
      <c r="H358" s="8"/>
    </row>
    <row r="359">
      <c r="A359" s="5"/>
      <c r="G359" s="11"/>
      <c r="H359" s="8"/>
    </row>
    <row r="360">
      <c r="A360" s="5"/>
      <c r="G360" s="11"/>
      <c r="H360" s="8"/>
    </row>
    <row r="361">
      <c r="A361" s="5"/>
      <c r="G361" s="11"/>
      <c r="H361" s="8"/>
    </row>
    <row r="362">
      <c r="A362" s="5"/>
      <c r="G362" s="11"/>
      <c r="H362" s="8"/>
    </row>
    <row r="363">
      <c r="A363" s="5"/>
      <c r="G363" s="11"/>
      <c r="H363" s="8"/>
    </row>
    <row r="364">
      <c r="A364" s="5"/>
      <c r="G364" s="11"/>
      <c r="H364" s="8"/>
    </row>
    <row r="365">
      <c r="A365" s="5"/>
      <c r="G365" s="11"/>
      <c r="H365" s="8"/>
    </row>
    <row r="366">
      <c r="A366" s="5"/>
      <c r="G366" s="11"/>
      <c r="H366" s="23"/>
    </row>
    <row r="367">
      <c r="A367" s="5"/>
      <c r="G367" s="11"/>
      <c r="H367" s="8"/>
    </row>
    <row r="368">
      <c r="A368" s="5"/>
      <c r="G368" s="11"/>
      <c r="H368" s="8"/>
    </row>
    <row r="369">
      <c r="A369" s="5"/>
      <c r="G369" s="11"/>
      <c r="H369" s="8"/>
    </row>
    <row r="370">
      <c r="A370" s="5"/>
      <c r="G370" s="11"/>
      <c r="H370" s="8"/>
    </row>
    <row r="371">
      <c r="A371" s="5"/>
      <c r="G371" s="11"/>
      <c r="H371" s="8"/>
    </row>
    <row r="372">
      <c r="A372" s="5"/>
      <c r="G372" s="11"/>
      <c r="H372" s="23"/>
    </row>
    <row r="373">
      <c r="G373" s="25"/>
      <c r="H373" s="23"/>
    </row>
    <row r="374">
      <c r="G374" s="25"/>
      <c r="H374" s="23"/>
    </row>
    <row r="375">
      <c r="G375" s="25"/>
      <c r="H375" s="23"/>
    </row>
    <row r="376">
      <c r="G376" s="25"/>
      <c r="H376" s="23"/>
    </row>
    <row r="377">
      <c r="G377" s="25"/>
      <c r="H377" s="23"/>
    </row>
    <row r="378">
      <c r="G378" s="25"/>
      <c r="H378" s="23"/>
    </row>
    <row r="379">
      <c r="G379" s="25"/>
      <c r="H379" s="23"/>
    </row>
    <row r="380">
      <c r="G380" s="25"/>
      <c r="H380" s="23"/>
    </row>
    <row r="381">
      <c r="G381" s="25"/>
      <c r="H381" s="23"/>
    </row>
    <row r="382">
      <c r="G382" s="25"/>
      <c r="H382" s="23"/>
    </row>
    <row r="383">
      <c r="G383" s="25"/>
      <c r="H383" s="23"/>
    </row>
    <row r="384">
      <c r="G384" s="25"/>
      <c r="H384" s="23"/>
    </row>
    <row r="385">
      <c r="G385" s="25"/>
      <c r="H385" s="23"/>
    </row>
    <row r="386">
      <c r="G386" s="25"/>
      <c r="H386" s="23"/>
    </row>
    <row r="387">
      <c r="G387" s="25"/>
      <c r="H387" s="23"/>
    </row>
    <row r="388">
      <c r="G388" s="25"/>
      <c r="H388" s="23"/>
    </row>
    <row r="389">
      <c r="G389" s="25"/>
      <c r="H389" s="23"/>
    </row>
    <row r="390">
      <c r="G390" s="25"/>
      <c r="H390" s="23"/>
    </row>
    <row r="391">
      <c r="G391" s="25"/>
      <c r="H391" s="23"/>
    </row>
    <row r="392">
      <c r="G392" s="25"/>
      <c r="H392" s="23"/>
    </row>
    <row r="393">
      <c r="G393" s="25"/>
      <c r="H393" s="23"/>
    </row>
    <row r="394">
      <c r="G394" s="25"/>
      <c r="H394" s="23"/>
    </row>
    <row r="395">
      <c r="G395" s="25"/>
      <c r="H395" s="23"/>
    </row>
    <row r="396">
      <c r="G396" s="25"/>
      <c r="H396" s="23"/>
    </row>
    <row r="397">
      <c r="G397" s="25"/>
      <c r="H397" s="23"/>
    </row>
    <row r="398">
      <c r="G398" s="25"/>
      <c r="H398" s="23"/>
    </row>
    <row r="399">
      <c r="G399" s="25"/>
      <c r="H399" s="23"/>
    </row>
    <row r="400">
      <c r="G400" s="25"/>
      <c r="H400" s="23"/>
    </row>
    <row r="401">
      <c r="G401" s="25"/>
      <c r="H401" s="23"/>
    </row>
    <row r="402">
      <c r="G402" s="25"/>
      <c r="H402" s="23"/>
    </row>
    <row r="403">
      <c r="G403" s="25"/>
      <c r="H403" s="23"/>
    </row>
    <row r="404">
      <c r="G404" s="25"/>
      <c r="H404" s="23"/>
    </row>
    <row r="405">
      <c r="G405" s="25"/>
      <c r="H405" s="23"/>
    </row>
    <row r="406">
      <c r="G406" s="25"/>
      <c r="H406" s="23"/>
    </row>
    <row r="407">
      <c r="G407" s="25"/>
      <c r="H407" s="23"/>
    </row>
    <row r="408">
      <c r="G408" s="25"/>
      <c r="H408" s="23"/>
    </row>
    <row r="409">
      <c r="G409" s="25"/>
      <c r="H409" s="23"/>
    </row>
    <row r="410">
      <c r="G410" s="25"/>
      <c r="H410" s="23"/>
    </row>
    <row r="411">
      <c r="G411" s="25"/>
      <c r="H411" s="23"/>
    </row>
    <row r="412">
      <c r="G412" s="25"/>
      <c r="H412" s="23"/>
    </row>
    <row r="413">
      <c r="G413" s="25"/>
      <c r="H413" s="23"/>
    </row>
    <row r="414">
      <c r="G414" s="25"/>
      <c r="H414" s="23"/>
    </row>
    <row r="415">
      <c r="G415" s="25"/>
      <c r="H415" s="23"/>
    </row>
    <row r="416">
      <c r="G416" s="25"/>
      <c r="H416" s="23"/>
    </row>
    <row r="417">
      <c r="G417" s="25"/>
      <c r="H417" s="23"/>
    </row>
    <row r="418">
      <c r="G418" s="25"/>
      <c r="H418" s="23"/>
    </row>
    <row r="419">
      <c r="G419" s="25"/>
      <c r="H419" s="23"/>
    </row>
    <row r="420">
      <c r="G420" s="25"/>
      <c r="H420" s="23"/>
    </row>
    <row r="421">
      <c r="G421" s="25"/>
      <c r="H421" s="23"/>
    </row>
    <row r="422">
      <c r="G422" s="25"/>
      <c r="H422" s="23"/>
    </row>
    <row r="423">
      <c r="G423" s="25"/>
      <c r="H423" s="23"/>
    </row>
    <row r="424">
      <c r="G424" s="25"/>
      <c r="H424" s="23"/>
    </row>
    <row r="425">
      <c r="G425" s="25"/>
      <c r="H425" s="23"/>
    </row>
    <row r="426">
      <c r="G426" s="25"/>
      <c r="H426" s="23"/>
    </row>
    <row r="427">
      <c r="G427" s="25"/>
      <c r="H427" s="23"/>
    </row>
    <row r="428">
      <c r="G428" s="25"/>
      <c r="H428" s="23"/>
    </row>
    <row r="429">
      <c r="G429" s="25"/>
      <c r="H429" s="23"/>
    </row>
    <row r="430">
      <c r="G430" s="25"/>
      <c r="H430" s="23"/>
    </row>
    <row r="431">
      <c r="G431" s="25"/>
      <c r="H431" s="23"/>
    </row>
    <row r="432">
      <c r="G432" s="25"/>
      <c r="H432" s="23"/>
    </row>
    <row r="433">
      <c r="G433" s="25"/>
      <c r="H433" s="23"/>
    </row>
    <row r="434">
      <c r="G434" s="25"/>
      <c r="H434" s="23"/>
    </row>
    <row r="435">
      <c r="G435" s="25"/>
      <c r="H435" s="23"/>
    </row>
    <row r="436">
      <c r="G436" s="25"/>
      <c r="H436" s="23"/>
    </row>
    <row r="437">
      <c r="G437" s="25"/>
      <c r="H437" s="23"/>
    </row>
    <row r="438">
      <c r="G438" s="25"/>
      <c r="H438" s="23"/>
    </row>
    <row r="439">
      <c r="G439" s="25"/>
      <c r="H439" s="23"/>
    </row>
    <row r="440">
      <c r="G440" s="25"/>
      <c r="H440" s="23"/>
    </row>
    <row r="441">
      <c r="G441" s="25"/>
      <c r="H441" s="23"/>
    </row>
    <row r="442">
      <c r="G442" s="25"/>
      <c r="H442" s="23"/>
    </row>
    <row r="443">
      <c r="G443" s="25"/>
      <c r="H443" s="23"/>
    </row>
    <row r="444">
      <c r="G444" s="25"/>
      <c r="H444" s="23"/>
    </row>
    <row r="445">
      <c r="G445" s="25"/>
      <c r="H445" s="23"/>
    </row>
    <row r="446">
      <c r="G446" s="25"/>
      <c r="H446" s="23"/>
    </row>
    <row r="447">
      <c r="G447" s="25"/>
      <c r="H447" s="23"/>
    </row>
    <row r="448">
      <c r="G448" s="25"/>
      <c r="H448" s="23"/>
    </row>
    <row r="449">
      <c r="G449" s="25"/>
      <c r="H449" s="23"/>
    </row>
    <row r="450">
      <c r="G450" s="25"/>
      <c r="H450" s="23"/>
    </row>
    <row r="451">
      <c r="G451" s="25"/>
      <c r="H451" s="23"/>
    </row>
    <row r="452">
      <c r="G452" s="25"/>
      <c r="H452" s="23"/>
    </row>
    <row r="453">
      <c r="G453" s="25"/>
      <c r="H453" s="23"/>
    </row>
    <row r="454">
      <c r="G454" s="25"/>
      <c r="H454" s="23"/>
    </row>
    <row r="455">
      <c r="G455" s="25"/>
      <c r="H455" s="23"/>
    </row>
    <row r="456">
      <c r="G456" s="25"/>
      <c r="H456" s="23"/>
    </row>
    <row r="457">
      <c r="G457" s="25"/>
      <c r="H457" s="23"/>
    </row>
    <row r="458">
      <c r="G458" s="25"/>
      <c r="H458" s="23"/>
    </row>
    <row r="459">
      <c r="G459" s="25"/>
      <c r="H459" s="23"/>
    </row>
    <row r="460">
      <c r="G460" s="25"/>
      <c r="H460" s="23"/>
    </row>
    <row r="461">
      <c r="G461" s="25"/>
      <c r="H461" s="23"/>
    </row>
    <row r="462">
      <c r="G462" s="25"/>
      <c r="H462" s="23"/>
    </row>
    <row r="463">
      <c r="G463" s="25"/>
      <c r="H463" s="23"/>
    </row>
    <row r="464">
      <c r="G464" s="25"/>
      <c r="H464" s="23"/>
    </row>
    <row r="465">
      <c r="G465" s="25"/>
      <c r="H465" s="23"/>
    </row>
    <row r="466">
      <c r="G466" s="25"/>
      <c r="H466" s="23"/>
    </row>
    <row r="467">
      <c r="G467" s="25"/>
      <c r="H467" s="23"/>
    </row>
    <row r="468">
      <c r="G468" s="25"/>
      <c r="H468" s="23"/>
    </row>
    <row r="469">
      <c r="G469" s="25"/>
      <c r="H469" s="23"/>
    </row>
    <row r="470">
      <c r="G470" s="25"/>
      <c r="H470" s="23"/>
    </row>
    <row r="471">
      <c r="G471" s="25"/>
      <c r="H471" s="23"/>
    </row>
    <row r="472">
      <c r="G472" s="25"/>
      <c r="H472" s="23"/>
    </row>
    <row r="473">
      <c r="G473" s="25"/>
      <c r="H473" s="23"/>
    </row>
    <row r="474">
      <c r="G474" s="25"/>
      <c r="H474" s="23"/>
    </row>
    <row r="475">
      <c r="G475" s="25"/>
      <c r="H475" s="23"/>
    </row>
    <row r="476">
      <c r="G476" s="25"/>
      <c r="H476" s="23"/>
    </row>
    <row r="477">
      <c r="G477" s="25"/>
      <c r="H477" s="23"/>
    </row>
    <row r="478">
      <c r="G478" s="25"/>
      <c r="H478" s="23"/>
    </row>
    <row r="479">
      <c r="G479" s="25"/>
      <c r="H479" s="23"/>
    </row>
    <row r="480">
      <c r="G480" s="25"/>
      <c r="H480" s="23"/>
    </row>
    <row r="481">
      <c r="G481" s="25"/>
      <c r="H481" s="23"/>
    </row>
    <row r="482">
      <c r="G482" s="25"/>
      <c r="H482" s="23"/>
    </row>
    <row r="483">
      <c r="G483" s="25"/>
      <c r="H483" s="23"/>
    </row>
    <row r="484">
      <c r="G484" s="25"/>
      <c r="H484" s="23"/>
    </row>
    <row r="485">
      <c r="G485" s="25"/>
      <c r="H485" s="23"/>
    </row>
    <row r="486">
      <c r="G486" s="25"/>
      <c r="H486" s="23"/>
    </row>
    <row r="487">
      <c r="G487" s="25"/>
      <c r="H487" s="23"/>
    </row>
    <row r="488">
      <c r="G488" s="25"/>
      <c r="H488" s="23"/>
    </row>
    <row r="489">
      <c r="G489" s="25"/>
      <c r="H489" s="23"/>
    </row>
    <row r="490">
      <c r="G490" s="25"/>
      <c r="H490" s="23"/>
    </row>
    <row r="491">
      <c r="G491" s="25"/>
      <c r="H491" s="23"/>
    </row>
    <row r="492">
      <c r="G492" s="25"/>
      <c r="H492" s="23"/>
    </row>
    <row r="493">
      <c r="G493" s="25"/>
      <c r="H493" s="23"/>
    </row>
    <row r="494">
      <c r="G494" s="25"/>
      <c r="H494" s="23"/>
    </row>
    <row r="495">
      <c r="G495" s="25"/>
      <c r="H495" s="23"/>
    </row>
    <row r="496">
      <c r="G496" s="25"/>
      <c r="H496" s="23"/>
    </row>
    <row r="497">
      <c r="G497" s="25"/>
      <c r="H497" s="23"/>
    </row>
    <row r="498">
      <c r="G498" s="25"/>
      <c r="H498" s="23"/>
    </row>
    <row r="499">
      <c r="G499" s="25"/>
      <c r="H499" s="23"/>
    </row>
    <row r="500">
      <c r="G500" s="25"/>
      <c r="H500" s="23"/>
    </row>
    <row r="501">
      <c r="G501" s="25"/>
      <c r="H501" s="23"/>
    </row>
    <row r="502">
      <c r="G502" s="25"/>
      <c r="H502" s="23"/>
    </row>
    <row r="503">
      <c r="G503" s="25"/>
      <c r="H503" s="23"/>
    </row>
    <row r="504">
      <c r="G504" s="25"/>
      <c r="H504" s="23"/>
    </row>
    <row r="505">
      <c r="G505" s="25"/>
      <c r="H505" s="23"/>
    </row>
    <row r="506">
      <c r="G506" s="25"/>
      <c r="H506" s="23"/>
    </row>
    <row r="507">
      <c r="G507" s="25"/>
      <c r="H507" s="23"/>
    </row>
    <row r="508">
      <c r="G508" s="25"/>
      <c r="H508" s="23"/>
    </row>
    <row r="509">
      <c r="G509" s="25"/>
      <c r="H509" s="23"/>
    </row>
    <row r="510">
      <c r="G510" s="25"/>
      <c r="H510" s="23"/>
    </row>
    <row r="511">
      <c r="G511" s="25"/>
      <c r="H511" s="23"/>
    </row>
    <row r="512">
      <c r="G512" s="25"/>
      <c r="H512" s="23"/>
    </row>
    <row r="513">
      <c r="G513" s="25"/>
      <c r="H513" s="23"/>
    </row>
    <row r="514">
      <c r="G514" s="25"/>
      <c r="H514" s="23"/>
    </row>
    <row r="515">
      <c r="G515" s="25"/>
      <c r="H515" s="23"/>
    </row>
    <row r="516">
      <c r="G516" s="25"/>
      <c r="H516" s="23"/>
    </row>
    <row r="517">
      <c r="G517" s="25"/>
      <c r="H517" s="23"/>
    </row>
    <row r="518">
      <c r="G518" s="25"/>
      <c r="H518" s="23"/>
    </row>
    <row r="519">
      <c r="G519" s="25"/>
      <c r="H519" s="23"/>
    </row>
    <row r="520">
      <c r="G520" s="25"/>
      <c r="H520" s="23"/>
    </row>
    <row r="521">
      <c r="G521" s="25"/>
      <c r="H521" s="23"/>
    </row>
    <row r="522">
      <c r="G522" s="25"/>
      <c r="H522" s="23"/>
    </row>
    <row r="523">
      <c r="G523" s="25"/>
      <c r="H523" s="23"/>
    </row>
    <row r="524">
      <c r="G524" s="25"/>
      <c r="H524" s="23"/>
    </row>
    <row r="525">
      <c r="G525" s="25"/>
      <c r="H525" s="23"/>
    </row>
    <row r="526">
      <c r="G526" s="25"/>
      <c r="H526" s="23"/>
    </row>
    <row r="527">
      <c r="G527" s="25"/>
      <c r="H527" s="23"/>
    </row>
    <row r="528">
      <c r="G528" s="25"/>
      <c r="H528" s="23"/>
    </row>
    <row r="529">
      <c r="G529" s="25"/>
      <c r="H529" s="23"/>
    </row>
    <row r="530">
      <c r="G530" s="25"/>
      <c r="H530" s="23"/>
    </row>
    <row r="531">
      <c r="G531" s="25"/>
      <c r="H531" s="23"/>
    </row>
    <row r="532">
      <c r="G532" s="25"/>
      <c r="H532" s="23"/>
    </row>
    <row r="533">
      <c r="G533" s="25"/>
      <c r="H533" s="23"/>
    </row>
    <row r="534">
      <c r="G534" s="25"/>
      <c r="H534" s="23"/>
    </row>
    <row r="535">
      <c r="G535" s="25"/>
      <c r="H535" s="23"/>
    </row>
    <row r="536">
      <c r="G536" s="25"/>
      <c r="H536" s="23"/>
    </row>
    <row r="537">
      <c r="G537" s="25"/>
      <c r="H537" s="23"/>
    </row>
    <row r="538">
      <c r="G538" s="25"/>
      <c r="H538" s="23"/>
    </row>
    <row r="539">
      <c r="G539" s="25"/>
      <c r="H539" s="23"/>
    </row>
    <row r="540">
      <c r="G540" s="25"/>
      <c r="H540" s="23"/>
    </row>
    <row r="541">
      <c r="G541" s="25"/>
      <c r="H541" s="23"/>
    </row>
    <row r="542">
      <c r="G542" s="25"/>
      <c r="H542" s="23"/>
    </row>
    <row r="543">
      <c r="G543" s="25"/>
      <c r="H543" s="23"/>
    </row>
    <row r="544">
      <c r="G544" s="25"/>
      <c r="H544" s="23"/>
    </row>
    <row r="545">
      <c r="G545" s="25"/>
      <c r="H545" s="23"/>
    </row>
    <row r="546">
      <c r="G546" s="25"/>
      <c r="H546" s="23"/>
    </row>
    <row r="547">
      <c r="G547" s="25"/>
      <c r="H547" s="23"/>
    </row>
    <row r="548">
      <c r="G548" s="25"/>
      <c r="H548" s="23"/>
    </row>
    <row r="549">
      <c r="G549" s="25"/>
      <c r="H549" s="23"/>
    </row>
    <row r="550">
      <c r="G550" s="25"/>
      <c r="H550" s="23"/>
    </row>
    <row r="551">
      <c r="G551" s="25"/>
      <c r="H551" s="23"/>
    </row>
    <row r="552">
      <c r="G552" s="25"/>
      <c r="H552" s="23"/>
    </row>
    <row r="553">
      <c r="G553" s="25"/>
      <c r="H553" s="23"/>
    </row>
    <row r="554">
      <c r="G554" s="25"/>
      <c r="H554" s="23"/>
    </row>
    <row r="555">
      <c r="G555" s="25"/>
      <c r="H555" s="23"/>
    </row>
    <row r="556">
      <c r="G556" s="25"/>
      <c r="H556" s="23"/>
    </row>
    <row r="557">
      <c r="G557" s="25"/>
      <c r="H557" s="23"/>
    </row>
    <row r="558">
      <c r="G558" s="25"/>
      <c r="H558" s="23"/>
    </row>
    <row r="559">
      <c r="G559" s="25"/>
      <c r="H559" s="23"/>
    </row>
    <row r="560">
      <c r="G560" s="25"/>
      <c r="H560" s="23"/>
    </row>
    <row r="561">
      <c r="G561" s="25"/>
      <c r="H561" s="23"/>
    </row>
    <row r="562">
      <c r="G562" s="25"/>
      <c r="H562" s="23"/>
    </row>
    <row r="563">
      <c r="G563" s="25"/>
      <c r="H563" s="23"/>
    </row>
    <row r="564">
      <c r="G564" s="25"/>
      <c r="H564" s="23"/>
    </row>
    <row r="565">
      <c r="G565" s="25"/>
      <c r="H565" s="23"/>
    </row>
    <row r="566">
      <c r="G566" s="25"/>
      <c r="H566" s="23"/>
    </row>
    <row r="567">
      <c r="G567" s="25"/>
      <c r="H567" s="23"/>
    </row>
    <row r="568">
      <c r="G568" s="25"/>
      <c r="H568" s="23"/>
    </row>
    <row r="569">
      <c r="G569" s="25"/>
      <c r="H569" s="23"/>
    </row>
    <row r="570">
      <c r="G570" s="25"/>
      <c r="H570" s="23"/>
    </row>
    <row r="571">
      <c r="G571" s="25"/>
      <c r="H571" s="23"/>
    </row>
    <row r="572">
      <c r="G572" s="25"/>
      <c r="H572" s="23"/>
    </row>
    <row r="573">
      <c r="G573" s="25"/>
      <c r="H573" s="23"/>
    </row>
    <row r="574">
      <c r="G574" s="25"/>
      <c r="H574" s="23"/>
    </row>
    <row r="575">
      <c r="G575" s="25"/>
      <c r="H575" s="23"/>
    </row>
    <row r="576">
      <c r="G576" s="25"/>
      <c r="H576" s="23"/>
    </row>
    <row r="577">
      <c r="G577" s="25"/>
      <c r="H577" s="23"/>
    </row>
    <row r="578">
      <c r="G578" s="25"/>
      <c r="H578" s="23"/>
    </row>
    <row r="579">
      <c r="G579" s="25"/>
      <c r="H579" s="23"/>
    </row>
    <row r="580">
      <c r="G580" s="25"/>
      <c r="H580" s="23"/>
    </row>
    <row r="581">
      <c r="G581" s="25"/>
      <c r="H581" s="23"/>
    </row>
    <row r="582">
      <c r="G582" s="25"/>
      <c r="H582" s="23"/>
    </row>
    <row r="583">
      <c r="G583" s="25"/>
      <c r="H583" s="23"/>
    </row>
    <row r="584">
      <c r="G584" s="25"/>
      <c r="H584" s="23"/>
    </row>
    <row r="585">
      <c r="G585" s="25"/>
      <c r="H585" s="23"/>
    </row>
    <row r="586">
      <c r="G586" s="25"/>
      <c r="H586" s="23"/>
    </row>
    <row r="587">
      <c r="G587" s="25"/>
      <c r="H587" s="23"/>
    </row>
    <row r="588">
      <c r="G588" s="25"/>
      <c r="H588" s="23"/>
    </row>
    <row r="589">
      <c r="G589" s="25"/>
      <c r="H589" s="23"/>
    </row>
    <row r="590">
      <c r="G590" s="25"/>
      <c r="H590" s="23"/>
    </row>
    <row r="591">
      <c r="G591" s="25"/>
      <c r="H591" s="23"/>
    </row>
    <row r="592">
      <c r="G592" s="25"/>
      <c r="H592" s="23"/>
    </row>
    <row r="593">
      <c r="G593" s="25"/>
      <c r="H593" s="23"/>
    </row>
    <row r="594">
      <c r="G594" s="25"/>
      <c r="H594" s="23"/>
    </row>
    <row r="595">
      <c r="G595" s="25"/>
      <c r="H595" s="23"/>
    </row>
    <row r="596">
      <c r="G596" s="25"/>
      <c r="H596" s="23"/>
    </row>
    <row r="597">
      <c r="G597" s="25"/>
      <c r="H597" s="23"/>
    </row>
    <row r="598">
      <c r="G598" s="25"/>
      <c r="H598" s="23"/>
    </row>
    <row r="599">
      <c r="G599" s="25"/>
      <c r="H599" s="23"/>
    </row>
    <row r="600">
      <c r="G600" s="25"/>
      <c r="H600" s="23"/>
    </row>
    <row r="601">
      <c r="G601" s="25"/>
      <c r="H601" s="23"/>
    </row>
    <row r="602">
      <c r="G602" s="25"/>
      <c r="H602" s="23"/>
    </row>
    <row r="603">
      <c r="G603" s="25"/>
      <c r="H603" s="23"/>
    </row>
    <row r="604">
      <c r="G604" s="25"/>
      <c r="H604" s="23"/>
    </row>
    <row r="605">
      <c r="G605" s="25"/>
      <c r="H605" s="23"/>
    </row>
    <row r="606">
      <c r="G606" s="25"/>
      <c r="H606" s="23"/>
    </row>
    <row r="607">
      <c r="G607" s="25"/>
      <c r="H607" s="23"/>
    </row>
    <row r="608">
      <c r="G608" s="25"/>
      <c r="H608" s="23"/>
    </row>
    <row r="609">
      <c r="G609" s="25"/>
      <c r="H609" s="23"/>
    </row>
    <row r="610">
      <c r="G610" s="25"/>
      <c r="H610" s="23"/>
    </row>
    <row r="611">
      <c r="G611" s="25"/>
      <c r="H611" s="23"/>
    </row>
    <row r="612">
      <c r="G612" s="25"/>
      <c r="H612" s="23"/>
    </row>
    <row r="613">
      <c r="G613" s="25"/>
      <c r="H613" s="23"/>
    </row>
    <row r="614">
      <c r="G614" s="25"/>
      <c r="H614" s="23"/>
    </row>
    <row r="615">
      <c r="G615" s="25"/>
      <c r="H615" s="23"/>
    </row>
    <row r="616">
      <c r="G616" s="25"/>
      <c r="H616" s="23"/>
    </row>
    <row r="617">
      <c r="G617" s="25"/>
      <c r="H617" s="23"/>
    </row>
    <row r="618">
      <c r="G618" s="25"/>
      <c r="H618" s="23"/>
    </row>
    <row r="619">
      <c r="G619" s="25"/>
      <c r="H619" s="23"/>
    </row>
    <row r="620">
      <c r="G620" s="25"/>
      <c r="H620" s="23"/>
    </row>
    <row r="621">
      <c r="G621" s="25"/>
      <c r="H621" s="23"/>
    </row>
    <row r="622">
      <c r="G622" s="25"/>
      <c r="H622" s="23"/>
    </row>
    <row r="623">
      <c r="G623" s="25"/>
      <c r="H623" s="23"/>
    </row>
    <row r="624">
      <c r="G624" s="25"/>
      <c r="H624" s="23"/>
    </row>
    <row r="625">
      <c r="G625" s="25"/>
      <c r="H625" s="23"/>
    </row>
    <row r="626">
      <c r="G626" s="25"/>
      <c r="H626" s="23"/>
    </row>
    <row r="627">
      <c r="G627" s="25"/>
      <c r="H627" s="23"/>
    </row>
    <row r="628">
      <c r="G628" s="25"/>
      <c r="H628" s="23"/>
    </row>
    <row r="629">
      <c r="G629" s="25"/>
      <c r="H629" s="23"/>
    </row>
    <row r="630">
      <c r="G630" s="25"/>
      <c r="H630" s="23"/>
    </row>
    <row r="631">
      <c r="G631" s="25"/>
      <c r="H631" s="23"/>
    </row>
    <row r="632">
      <c r="G632" s="25"/>
      <c r="H632" s="23"/>
    </row>
    <row r="633">
      <c r="G633" s="25"/>
      <c r="H633" s="23"/>
    </row>
    <row r="634">
      <c r="G634" s="25"/>
      <c r="H634" s="23"/>
    </row>
    <row r="635">
      <c r="G635" s="25"/>
      <c r="H635" s="23"/>
    </row>
    <row r="636">
      <c r="G636" s="25"/>
      <c r="H636" s="23"/>
    </row>
    <row r="637">
      <c r="G637" s="25"/>
      <c r="H637" s="23"/>
    </row>
    <row r="638">
      <c r="G638" s="25"/>
      <c r="H638" s="23"/>
    </row>
    <row r="639">
      <c r="G639" s="25"/>
      <c r="H639" s="23"/>
    </row>
    <row r="640">
      <c r="G640" s="25"/>
      <c r="H640" s="23"/>
    </row>
    <row r="641">
      <c r="G641" s="25"/>
      <c r="H641" s="23"/>
    </row>
    <row r="642">
      <c r="G642" s="25"/>
      <c r="H642" s="23"/>
    </row>
    <row r="643">
      <c r="G643" s="25"/>
      <c r="H643" s="23"/>
    </row>
    <row r="644">
      <c r="G644" s="25"/>
      <c r="H644" s="23"/>
    </row>
    <row r="645">
      <c r="G645" s="25"/>
      <c r="H645" s="23"/>
    </row>
    <row r="646">
      <c r="G646" s="25"/>
      <c r="H646" s="23"/>
    </row>
    <row r="647">
      <c r="G647" s="25"/>
      <c r="H647" s="23"/>
    </row>
    <row r="648">
      <c r="G648" s="25"/>
      <c r="H648" s="23"/>
    </row>
    <row r="649">
      <c r="G649" s="25"/>
      <c r="H649" s="23"/>
    </row>
    <row r="650">
      <c r="G650" s="25"/>
      <c r="H650" s="23"/>
    </row>
    <row r="651">
      <c r="G651" s="25"/>
      <c r="H651" s="23"/>
    </row>
    <row r="652">
      <c r="G652" s="25"/>
      <c r="H652" s="23"/>
    </row>
    <row r="653">
      <c r="G653" s="25"/>
      <c r="H653" s="23"/>
    </row>
    <row r="654">
      <c r="G654" s="25"/>
      <c r="H654" s="23"/>
    </row>
    <row r="655">
      <c r="G655" s="25"/>
      <c r="H655" s="23"/>
    </row>
    <row r="656">
      <c r="G656" s="25"/>
      <c r="H656" s="23"/>
    </row>
    <row r="657">
      <c r="G657" s="25"/>
      <c r="H657" s="23"/>
    </row>
    <row r="658">
      <c r="G658" s="25"/>
      <c r="H658" s="23"/>
    </row>
    <row r="659">
      <c r="G659" s="25"/>
      <c r="H659" s="23"/>
    </row>
    <row r="660">
      <c r="G660" s="25"/>
      <c r="H660" s="23"/>
    </row>
    <row r="661">
      <c r="G661" s="25"/>
      <c r="H661" s="23"/>
    </row>
    <row r="662">
      <c r="G662" s="25"/>
      <c r="H662" s="23"/>
    </row>
    <row r="663">
      <c r="G663" s="25"/>
      <c r="H663" s="23"/>
    </row>
    <row r="664">
      <c r="G664" s="25"/>
      <c r="H664" s="23"/>
    </row>
    <row r="665">
      <c r="G665" s="25"/>
      <c r="H665" s="23"/>
    </row>
    <row r="666">
      <c r="G666" s="25"/>
      <c r="H666" s="23"/>
    </row>
    <row r="667">
      <c r="G667" s="25"/>
      <c r="H667" s="23"/>
    </row>
    <row r="668">
      <c r="G668" s="25"/>
      <c r="H668" s="23"/>
    </row>
    <row r="669">
      <c r="G669" s="25"/>
      <c r="H669" s="23"/>
    </row>
    <row r="670">
      <c r="G670" s="25"/>
      <c r="H670" s="23"/>
    </row>
    <row r="671">
      <c r="G671" s="25"/>
      <c r="H671" s="23"/>
    </row>
    <row r="672">
      <c r="G672" s="25"/>
      <c r="H672" s="23"/>
    </row>
    <row r="673">
      <c r="G673" s="25"/>
      <c r="H673" s="23"/>
    </row>
    <row r="674">
      <c r="G674" s="25"/>
      <c r="H674" s="23"/>
    </row>
    <row r="675">
      <c r="G675" s="25"/>
      <c r="H675" s="23"/>
    </row>
    <row r="676">
      <c r="G676" s="25"/>
      <c r="H676" s="23"/>
    </row>
    <row r="677">
      <c r="G677" s="25"/>
      <c r="H677" s="23"/>
    </row>
    <row r="678">
      <c r="G678" s="25"/>
      <c r="H678" s="23"/>
    </row>
    <row r="679">
      <c r="G679" s="25"/>
      <c r="H679" s="23"/>
    </row>
    <row r="680">
      <c r="G680" s="25"/>
      <c r="H680" s="23"/>
    </row>
    <row r="681">
      <c r="G681" s="25"/>
      <c r="H681" s="23"/>
    </row>
    <row r="682">
      <c r="G682" s="25"/>
      <c r="H682" s="23"/>
    </row>
    <row r="683">
      <c r="G683" s="25"/>
      <c r="H683" s="23"/>
    </row>
    <row r="684">
      <c r="G684" s="25"/>
      <c r="H684" s="23"/>
    </row>
    <row r="685">
      <c r="G685" s="25"/>
      <c r="H685" s="23"/>
    </row>
    <row r="686">
      <c r="G686" s="25"/>
      <c r="H686" s="23"/>
    </row>
    <row r="687">
      <c r="G687" s="25"/>
      <c r="H687" s="23"/>
    </row>
    <row r="688">
      <c r="G688" s="25"/>
      <c r="H688" s="23"/>
    </row>
    <row r="689">
      <c r="G689" s="25"/>
      <c r="H689" s="23"/>
    </row>
    <row r="690">
      <c r="G690" s="25"/>
      <c r="H690" s="23"/>
    </row>
    <row r="691">
      <c r="G691" s="25"/>
      <c r="H691" s="23"/>
    </row>
    <row r="692">
      <c r="G692" s="25"/>
      <c r="H692" s="23"/>
    </row>
    <row r="693">
      <c r="G693" s="25"/>
      <c r="H693" s="23"/>
    </row>
    <row r="694">
      <c r="G694" s="25"/>
      <c r="H694" s="23"/>
    </row>
    <row r="695">
      <c r="G695" s="25"/>
      <c r="H695" s="23"/>
    </row>
    <row r="696">
      <c r="G696" s="25"/>
      <c r="H696" s="23"/>
    </row>
    <row r="697">
      <c r="G697" s="25"/>
      <c r="H697" s="23"/>
    </row>
    <row r="698">
      <c r="G698" s="25"/>
      <c r="H698" s="23"/>
    </row>
    <row r="699">
      <c r="G699" s="25"/>
      <c r="H699" s="23"/>
    </row>
    <row r="700">
      <c r="G700" s="25"/>
      <c r="H700" s="23"/>
    </row>
    <row r="701">
      <c r="G701" s="25"/>
      <c r="H701" s="23"/>
    </row>
    <row r="702">
      <c r="G702" s="25"/>
      <c r="H702" s="23"/>
    </row>
    <row r="703">
      <c r="G703" s="25"/>
      <c r="H703" s="23"/>
    </row>
    <row r="704">
      <c r="G704" s="25"/>
      <c r="H704" s="23"/>
    </row>
    <row r="705">
      <c r="G705" s="25"/>
      <c r="H705" s="23"/>
    </row>
    <row r="706">
      <c r="G706" s="25"/>
      <c r="H706" s="23"/>
    </row>
    <row r="707">
      <c r="G707" s="25"/>
      <c r="H707" s="23"/>
    </row>
    <row r="708">
      <c r="G708" s="25"/>
      <c r="H708" s="23"/>
    </row>
    <row r="709">
      <c r="G709" s="25"/>
      <c r="H709" s="23"/>
    </row>
    <row r="710">
      <c r="G710" s="25"/>
      <c r="H710" s="23"/>
    </row>
    <row r="711">
      <c r="G711" s="25"/>
      <c r="H711" s="23"/>
    </row>
    <row r="712">
      <c r="G712" s="25"/>
      <c r="H712" s="23"/>
    </row>
    <row r="713">
      <c r="G713" s="25"/>
      <c r="H713" s="23"/>
    </row>
    <row r="714">
      <c r="G714" s="25"/>
      <c r="H714" s="23"/>
    </row>
    <row r="715">
      <c r="G715" s="25"/>
      <c r="H715" s="23"/>
    </row>
    <row r="716">
      <c r="G716" s="25"/>
      <c r="H716" s="23"/>
    </row>
    <row r="717">
      <c r="G717" s="25"/>
      <c r="H717" s="23"/>
    </row>
    <row r="718">
      <c r="G718" s="25"/>
      <c r="H718" s="23"/>
    </row>
    <row r="719">
      <c r="G719" s="25"/>
      <c r="H719" s="23"/>
    </row>
    <row r="720">
      <c r="G720" s="25"/>
      <c r="H720" s="23"/>
    </row>
    <row r="721">
      <c r="G721" s="25"/>
      <c r="H721" s="23"/>
    </row>
    <row r="722">
      <c r="G722" s="25"/>
      <c r="H722" s="23"/>
    </row>
    <row r="723">
      <c r="G723" s="25"/>
      <c r="H723" s="23"/>
    </row>
    <row r="724">
      <c r="G724" s="25"/>
      <c r="H724" s="23"/>
    </row>
    <row r="725">
      <c r="G725" s="25"/>
      <c r="H725" s="23"/>
    </row>
    <row r="726">
      <c r="G726" s="25"/>
      <c r="H726" s="23"/>
    </row>
    <row r="727">
      <c r="G727" s="25"/>
      <c r="H727" s="23"/>
    </row>
    <row r="728">
      <c r="G728" s="25"/>
      <c r="H728" s="23"/>
    </row>
    <row r="729">
      <c r="G729" s="25"/>
      <c r="H729" s="23"/>
    </row>
    <row r="730">
      <c r="G730" s="25"/>
      <c r="H730" s="23"/>
    </row>
    <row r="731">
      <c r="G731" s="25"/>
      <c r="H731" s="23"/>
    </row>
    <row r="732">
      <c r="G732" s="25"/>
      <c r="H732" s="23"/>
    </row>
    <row r="733">
      <c r="G733" s="25"/>
      <c r="H733" s="23"/>
    </row>
    <row r="734">
      <c r="G734" s="25"/>
      <c r="H734" s="23"/>
    </row>
    <row r="735">
      <c r="G735" s="25"/>
      <c r="H735" s="23"/>
    </row>
    <row r="736">
      <c r="G736" s="25"/>
      <c r="H736" s="23"/>
    </row>
    <row r="737">
      <c r="G737" s="25"/>
      <c r="H737" s="23"/>
    </row>
    <row r="738">
      <c r="G738" s="25"/>
      <c r="H738" s="23"/>
    </row>
    <row r="739">
      <c r="G739" s="25"/>
      <c r="H739" s="23"/>
    </row>
    <row r="740">
      <c r="G740" s="25"/>
      <c r="H740" s="23"/>
    </row>
    <row r="741">
      <c r="G741" s="25"/>
      <c r="H741" s="23"/>
    </row>
    <row r="742">
      <c r="G742" s="25"/>
      <c r="H742" s="23"/>
    </row>
    <row r="743">
      <c r="G743" s="25"/>
      <c r="H743" s="23"/>
    </row>
    <row r="744">
      <c r="G744" s="25"/>
      <c r="H744" s="23"/>
    </row>
    <row r="745">
      <c r="G745" s="25"/>
      <c r="H745" s="23"/>
    </row>
    <row r="746">
      <c r="G746" s="25"/>
      <c r="H746" s="23"/>
    </row>
    <row r="747">
      <c r="G747" s="25"/>
      <c r="H747" s="23"/>
    </row>
    <row r="748">
      <c r="G748" s="25"/>
      <c r="H748" s="23"/>
    </row>
    <row r="749">
      <c r="G749" s="25"/>
      <c r="H749" s="23"/>
    </row>
    <row r="750">
      <c r="G750" s="25"/>
      <c r="H750" s="23"/>
    </row>
    <row r="751">
      <c r="G751" s="25"/>
      <c r="H751" s="23"/>
    </row>
    <row r="752">
      <c r="G752" s="25"/>
      <c r="H752" s="23"/>
    </row>
    <row r="753">
      <c r="G753" s="25"/>
      <c r="H753" s="23"/>
    </row>
    <row r="754">
      <c r="G754" s="25"/>
      <c r="H754" s="23"/>
    </row>
    <row r="755">
      <c r="G755" s="25"/>
      <c r="H755" s="23"/>
    </row>
    <row r="756">
      <c r="G756" s="25"/>
      <c r="H756" s="23"/>
    </row>
    <row r="757">
      <c r="G757" s="25"/>
      <c r="H757" s="23"/>
    </row>
    <row r="758">
      <c r="G758" s="25"/>
      <c r="H758" s="23"/>
    </row>
    <row r="759">
      <c r="G759" s="25"/>
      <c r="H759" s="23"/>
    </row>
    <row r="760">
      <c r="G760" s="25"/>
      <c r="H760" s="23"/>
    </row>
    <row r="761">
      <c r="G761" s="25"/>
      <c r="H761" s="23"/>
    </row>
    <row r="762">
      <c r="G762" s="25"/>
      <c r="H762" s="23"/>
    </row>
    <row r="763">
      <c r="G763" s="25"/>
      <c r="H763" s="23"/>
    </row>
    <row r="764">
      <c r="G764" s="25"/>
      <c r="H764" s="23"/>
    </row>
    <row r="765">
      <c r="G765" s="25"/>
      <c r="H765" s="23"/>
    </row>
    <row r="766">
      <c r="G766" s="25"/>
      <c r="H766" s="23"/>
    </row>
    <row r="767">
      <c r="G767" s="25"/>
      <c r="H767" s="23"/>
    </row>
    <row r="768">
      <c r="G768" s="25"/>
      <c r="H768" s="23"/>
    </row>
    <row r="769">
      <c r="G769" s="25"/>
      <c r="H769" s="23"/>
    </row>
    <row r="770">
      <c r="G770" s="25"/>
      <c r="H770" s="23"/>
    </row>
    <row r="771">
      <c r="G771" s="25"/>
      <c r="H771" s="23"/>
    </row>
    <row r="772">
      <c r="G772" s="25"/>
      <c r="H772" s="23"/>
    </row>
    <row r="773">
      <c r="G773" s="25"/>
      <c r="H773" s="23"/>
    </row>
    <row r="774">
      <c r="G774" s="25"/>
      <c r="H774" s="23"/>
    </row>
    <row r="775">
      <c r="G775" s="25"/>
      <c r="H775" s="23"/>
    </row>
    <row r="776">
      <c r="G776" s="25"/>
      <c r="H776" s="23"/>
    </row>
    <row r="777">
      <c r="G777" s="25"/>
      <c r="H777" s="23"/>
    </row>
    <row r="778">
      <c r="G778" s="25"/>
      <c r="H778" s="23"/>
    </row>
    <row r="779">
      <c r="G779" s="25"/>
      <c r="H779" s="23"/>
    </row>
    <row r="780">
      <c r="G780" s="25"/>
      <c r="H780" s="23"/>
    </row>
    <row r="781">
      <c r="G781" s="25"/>
      <c r="H781" s="23"/>
    </row>
    <row r="782">
      <c r="G782" s="25"/>
      <c r="H782" s="23"/>
    </row>
    <row r="783">
      <c r="G783" s="25"/>
      <c r="H783" s="23"/>
    </row>
    <row r="784">
      <c r="G784" s="25"/>
      <c r="H784" s="23"/>
    </row>
    <row r="785">
      <c r="G785" s="25"/>
      <c r="H785" s="23"/>
    </row>
    <row r="786">
      <c r="G786" s="25"/>
      <c r="H786" s="23"/>
    </row>
    <row r="787">
      <c r="G787" s="25"/>
      <c r="H787" s="23"/>
    </row>
    <row r="788">
      <c r="G788" s="25"/>
      <c r="H788" s="23"/>
    </row>
    <row r="789">
      <c r="G789" s="25"/>
      <c r="H789" s="23"/>
    </row>
    <row r="790">
      <c r="G790" s="25"/>
      <c r="H790" s="23"/>
    </row>
    <row r="791">
      <c r="G791" s="25"/>
      <c r="H791" s="23"/>
    </row>
    <row r="792">
      <c r="G792" s="25"/>
      <c r="H792" s="23"/>
    </row>
    <row r="793">
      <c r="G793" s="25"/>
      <c r="H793" s="23"/>
    </row>
    <row r="794">
      <c r="G794" s="25"/>
      <c r="H794" s="23"/>
    </row>
    <row r="795">
      <c r="G795" s="25"/>
      <c r="H795" s="23"/>
    </row>
    <row r="796">
      <c r="G796" s="25"/>
      <c r="H796" s="23"/>
    </row>
    <row r="797">
      <c r="G797" s="25"/>
      <c r="H797" s="23"/>
    </row>
    <row r="798">
      <c r="G798" s="25"/>
      <c r="H798" s="23"/>
    </row>
    <row r="799">
      <c r="G799" s="25"/>
      <c r="H799" s="23"/>
    </row>
    <row r="800">
      <c r="G800" s="25"/>
      <c r="H800" s="23"/>
    </row>
    <row r="801">
      <c r="G801" s="25"/>
      <c r="H801" s="23"/>
    </row>
    <row r="802">
      <c r="G802" s="25"/>
      <c r="H802" s="23"/>
    </row>
    <row r="803">
      <c r="G803" s="25"/>
      <c r="H803" s="23"/>
    </row>
    <row r="804">
      <c r="G804" s="25"/>
      <c r="H804" s="23"/>
    </row>
    <row r="805">
      <c r="G805" s="25"/>
      <c r="H805" s="23"/>
    </row>
    <row r="806">
      <c r="G806" s="25"/>
      <c r="H806" s="23"/>
    </row>
    <row r="807">
      <c r="G807" s="25"/>
      <c r="H807" s="23"/>
    </row>
    <row r="808">
      <c r="G808" s="25"/>
      <c r="H808" s="23"/>
    </row>
    <row r="809">
      <c r="G809" s="25"/>
      <c r="H809" s="23"/>
    </row>
    <row r="810">
      <c r="G810" s="25"/>
      <c r="H810" s="23"/>
    </row>
    <row r="811">
      <c r="G811" s="25"/>
      <c r="H811" s="23"/>
    </row>
    <row r="812">
      <c r="G812" s="25"/>
      <c r="H812" s="23"/>
    </row>
    <row r="813">
      <c r="G813" s="25"/>
      <c r="H813" s="23"/>
    </row>
    <row r="814">
      <c r="G814" s="25"/>
      <c r="H814" s="23"/>
    </row>
    <row r="815">
      <c r="G815" s="25"/>
      <c r="H815" s="23"/>
    </row>
    <row r="816">
      <c r="G816" s="25"/>
      <c r="H816" s="23"/>
    </row>
    <row r="817">
      <c r="G817" s="25"/>
      <c r="H817" s="23"/>
    </row>
    <row r="818">
      <c r="G818" s="25"/>
      <c r="H818" s="23"/>
    </row>
    <row r="819">
      <c r="G819" s="25"/>
      <c r="H819" s="23"/>
    </row>
    <row r="820">
      <c r="G820" s="25"/>
      <c r="H820" s="23"/>
    </row>
    <row r="821">
      <c r="G821" s="25"/>
      <c r="H821" s="23"/>
    </row>
    <row r="822">
      <c r="G822" s="25"/>
      <c r="H822" s="23"/>
    </row>
    <row r="823">
      <c r="G823" s="25"/>
      <c r="H823" s="23"/>
    </row>
    <row r="824">
      <c r="G824" s="25"/>
      <c r="H824" s="23"/>
    </row>
    <row r="825">
      <c r="G825" s="25"/>
      <c r="H825" s="23"/>
    </row>
    <row r="826">
      <c r="G826" s="25"/>
      <c r="H826" s="23"/>
    </row>
    <row r="827">
      <c r="G827" s="25"/>
      <c r="H827" s="23"/>
    </row>
    <row r="828">
      <c r="G828" s="25"/>
      <c r="H828" s="23"/>
    </row>
    <row r="829">
      <c r="G829" s="25"/>
      <c r="H829" s="23"/>
    </row>
    <row r="830">
      <c r="G830" s="25"/>
      <c r="H830" s="23"/>
    </row>
    <row r="831">
      <c r="G831" s="25"/>
      <c r="H831" s="23"/>
    </row>
    <row r="832">
      <c r="G832" s="25"/>
      <c r="H832" s="23"/>
    </row>
    <row r="833">
      <c r="G833" s="25"/>
      <c r="H833" s="23"/>
    </row>
    <row r="834">
      <c r="G834" s="25"/>
      <c r="H834" s="23"/>
    </row>
    <row r="835">
      <c r="G835" s="25"/>
      <c r="H835" s="23"/>
    </row>
    <row r="836">
      <c r="G836" s="25"/>
      <c r="H836" s="23"/>
    </row>
    <row r="837">
      <c r="G837" s="25"/>
      <c r="H837" s="23"/>
    </row>
    <row r="838">
      <c r="G838" s="25"/>
      <c r="H838" s="23"/>
    </row>
    <row r="839">
      <c r="G839" s="25"/>
      <c r="H839" s="23"/>
    </row>
    <row r="840">
      <c r="G840" s="25"/>
      <c r="H840" s="23"/>
    </row>
    <row r="841">
      <c r="G841" s="25"/>
      <c r="H841" s="23"/>
    </row>
    <row r="842">
      <c r="G842" s="25"/>
      <c r="H842" s="23"/>
    </row>
    <row r="843">
      <c r="G843" s="25"/>
      <c r="H843" s="23"/>
    </row>
    <row r="844">
      <c r="G844" s="25"/>
      <c r="H844" s="23"/>
    </row>
    <row r="845">
      <c r="G845" s="25"/>
      <c r="H845" s="23"/>
    </row>
    <row r="846">
      <c r="G846" s="25"/>
      <c r="H846" s="23"/>
    </row>
    <row r="847">
      <c r="G847" s="25"/>
      <c r="H847" s="23"/>
    </row>
    <row r="848">
      <c r="G848" s="25"/>
      <c r="H848" s="23"/>
    </row>
    <row r="849">
      <c r="G849" s="25"/>
      <c r="H849" s="23"/>
    </row>
    <row r="850">
      <c r="G850" s="25"/>
      <c r="H850" s="23"/>
    </row>
    <row r="851">
      <c r="G851" s="25"/>
      <c r="H851" s="23"/>
    </row>
    <row r="852">
      <c r="G852" s="25"/>
      <c r="H852" s="23"/>
    </row>
    <row r="853">
      <c r="G853" s="25"/>
      <c r="H853" s="23"/>
    </row>
    <row r="854">
      <c r="G854" s="25"/>
      <c r="H854" s="23"/>
    </row>
    <row r="855">
      <c r="G855" s="25"/>
      <c r="H855" s="23"/>
    </row>
    <row r="856">
      <c r="G856" s="25"/>
      <c r="H856" s="23"/>
    </row>
    <row r="857">
      <c r="G857" s="25"/>
      <c r="H857" s="23"/>
    </row>
    <row r="858">
      <c r="G858" s="25"/>
      <c r="H858" s="23"/>
    </row>
    <row r="859">
      <c r="G859" s="25"/>
      <c r="H859" s="23"/>
    </row>
    <row r="860">
      <c r="G860" s="25"/>
      <c r="H860" s="23"/>
    </row>
    <row r="861">
      <c r="G861" s="25"/>
      <c r="H861" s="23"/>
    </row>
    <row r="862">
      <c r="G862" s="25"/>
      <c r="H862" s="23"/>
    </row>
    <row r="863">
      <c r="G863" s="25"/>
      <c r="H863" s="23"/>
    </row>
    <row r="864">
      <c r="G864" s="25"/>
      <c r="H864" s="23"/>
    </row>
    <row r="865">
      <c r="G865" s="25"/>
      <c r="H865" s="23"/>
    </row>
    <row r="866">
      <c r="G866" s="25"/>
      <c r="H866" s="23"/>
    </row>
    <row r="867">
      <c r="G867" s="25"/>
      <c r="H867" s="23"/>
    </row>
    <row r="868">
      <c r="G868" s="25"/>
      <c r="H868" s="23"/>
    </row>
    <row r="869">
      <c r="G869" s="25"/>
      <c r="H869" s="23"/>
    </row>
    <row r="870">
      <c r="G870" s="25"/>
      <c r="H870" s="23"/>
    </row>
    <row r="871">
      <c r="G871" s="25"/>
      <c r="H871" s="23"/>
    </row>
    <row r="872">
      <c r="G872" s="25"/>
      <c r="H872" s="23"/>
    </row>
    <row r="873">
      <c r="G873" s="25"/>
      <c r="H873" s="23"/>
    </row>
    <row r="874">
      <c r="G874" s="25"/>
      <c r="H874" s="23"/>
    </row>
    <row r="875">
      <c r="G875" s="25"/>
      <c r="H875" s="23"/>
    </row>
    <row r="876">
      <c r="G876" s="25"/>
      <c r="H876" s="23"/>
    </row>
    <row r="877">
      <c r="G877" s="25"/>
      <c r="H877" s="23"/>
    </row>
    <row r="878">
      <c r="G878" s="25"/>
      <c r="H878" s="23"/>
    </row>
    <row r="879">
      <c r="G879" s="25"/>
      <c r="H879" s="23"/>
    </row>
    <row r="880">
      <c r="G880" s="25"/>
      <c r="H880" s="23"/>
    </row>
    <row r="881">
      <c r="G881" s="25"/>
      <c r="H881" s="23"/>
    </row>
    <row r="882">
      <c r="G882" s="25"/>
      <c r="H882" s="23"/>
    </row>
    <row r="883">
      <c r="G883" s="25"/>
      <c r="H883" s="23"/>
    </row>
    <row r="884">
      <c r="G884" s="25"/>
      <c r="H884" s="23"/>
    </row>
    <row r="885">
      <c r="G885" s="25"/>
      <c r="H885" s="23"/>
    </row>
    <row r="886">
      <c r="G886" s="25"/>
      <c r="H886" s="23"/>
    </row>
    <row r="887">
      <c r="G887" s="25"/>
      <c r="H887" s="23"/>
    </row>
    <row r="888">
      <c r="G888" s="25"/>
      <c r="H888" s="23"/>
    </row>
    <row r="889">
      <c r="G889" s="25"/>
      <c r="H889" s="23"/>
    </row>
    <row r="890">
      <c r="G890" s="25"/>
      <c r="H890" s="23"/>
    </row>
    <row r="891">
      <c r="G891" s="25"/>
      <c r="H891" s="23"/>
    </row>
    <row r="892">
      <c r="G892" s="25"/>
      <c r="H892" s="23"/>
    </row>
    <row r="893">
      <c r="G893" s="25"/>
      <c r="H893" s="23"/>
    </row>
    <row r="894">
      <c r="G894" s="25"/>
      <c r="H894" s="23"/>
    </row>
    <row r="895">
      <c r="G895" s="25"/>
      <c r="H895" s="23"/>
    </row>
    <row r="896">
      <c r="G896" s="25"/>
      <c r="H896" s="23"/>
    </row>
    <row r="897">
      <c r="G897" s="25"/>
      <c r="H897" s="23"/>
    </row>
    <row r="898">
      <c r="G898" s="25"/>
      <c r="H898" s="23"/>
    </row>
    <row r="899">
      <c r="G899" s="25"/>
      <c r="H899" s="23"/>
    </row>
    <row r="900">
      <c r="G900" s="25"/>
      <c r="H900" s="23"/>
    </row>
    <row r="901">
      <c r="G901" s="25"/>
      <c r="H901" s="23"/>
    </row>
    <row r="902">
      <c r="G902" s="25"/>
      <c r="H902" s="23"/>
    </row>
    <row r="903">
      <c r="G903" s="25"/>
      <c r="H903" s="23"/>
    </row>
    <row r="904">
      <c r="G904" s="25"/>
      <c r="H904" s="23"/>
    </row>
    <row r="905">
      <c r="G905" s="25"/>
      <c r="H905" s="23"/>
    </row>
    <row r="906">
      <c r="G906" s="25"/>
      <c r="H906" s="23"/>
    </row>
    <row r="907">
      <c r="G907" s="25"/>
      <c r="H907" s="23"/>
    </row>
    <row r="908">
      <c r="G908" s="25"/>
      <c r="H908" s="23"/>
    </row>
    <row r="909">
      <c r="G909" s="25"/>
      <c r="H909" s="23"/>
    </row>
    <row r="910">
      <c r="G910" s="25"/>
      <c r="H910" s="23"/>
    </row>
    <row r="911">
      <c r="G911" s="25"/>
      <c r="H911" s="23"/>
    </row>
    <row r="912">
      <c r="G912" s="25"/>
      <c r="H912" s="23"/>
    </row>
    <row r="913">
      <c r="G913" s="25"/>
      <c r="H913" s="23"/>
    </row>
    <row r="914">
      <c r="G914" s="25"/>
      <c r="H914" s="23"/>
    </row>
    <row r="915">
      <c r="G915" s="25"/>
      <c r="H915" s="23"/>
    </row>
    <row r="916">
      <c r="G916" s="25"/>
      <c r="H916" s="23"/>
    </row>
    <row r="917">
      <c r="G917" s="25"/>
      <c r="H917" s="23"/>
    </row>
    <row r="918">
      <c r="G918" s="25"/>
      <c r="H918" s="23"/>
    </row>
    <row r="919">
      <c r="G919" s="25"/>
      <c r="H919" s="23"/>
    </row>
    <row r="920">
      <c r="G920" s="25"/>
      <c r="H920" s="23"/>
    </row>
    <row r="921">
      <c r="G921" s="25"/>
      <c r="H921" s="23"/>
    </row>
    <row r="922">
      <c r="G922" s="25"/>
      <c r="H922" s="23"/>
    </row>
    <row r="923">
      <c r="G923" s="25"/>
      <c r="H923" s="23"/>
    </row>
    <row r="924">
      <c r="G924" s="25"/>
      <c r="H924" s="23"/>
    </row>
    <row r="925">
      <c r="G925" s="25"/>
      <c r="H925" s="23"/>
    </row>
    <row r="926">
      <c r="G926" s="25"/>
      <c r="H926" s="23"/>
    </row>
    <row r="927">
      <c r="G927" s="25"/>
      <c r="H927" s="23"/>
    </row>
    <row r="928">
      <c r="G928" s="25"/>
      <c r="H928" s="23"/>
    </row>
    <row r="929">
      <c r="G929" s="25"/>
      <c r="H929" s="23"/>
    </row>
    <row r="930">
      <c r="G930" s="25"/>
      <c r="H930" s="23"/>
    </row>
    <row r="931">
      <c r="G931" s="25"/>
      <c r="H931" s="23"/>
    </row>
    <row r="932">
      <c r="G932" s="25"/>
      <c r="H932" s="23"/>
    </row>
    <row r="933">
      <c r="G933" s="25"/>
      <c r="H933" s="23"/>
    </row>
    <row r="934">
      <c r="G934" s="25"/>
      <c r="H934" s="23"/>
    </row>
    <row r="935">
      <c r="G935" s="25"/>
      <c r="H935" s="23"/>
    </row>
    <row r="936">
      <c r="G936" s="25"/>
      <c r="H936" s="23"/>
    </row>
    <row r="937">
      <c r="G937" s="25"/>
      <c r="H937" s="23"/>
    </row>
    <row r="938">
      <c r="G938" s="25"/>
      <c r="H938" s="23"/>
    </row>
    <row r="939">
      <c r="G939" s="25"/>
      <c r="H939" s="23"/>
    </row>
    <row r="940">
      <c r="G940" s="25"/>
      <c r="H940" s="23"/>
    </row>
    <row r="941">
      <c r="G941" s="25"/>
      <c r="H941" s="23"/>
    </row>
    <row r="942">
      <c r="G942" s="25"/>
      <c r="H942" s="23"/>
    </row>
    <row r="943">
      <c r="G943" s="25"/>
      <c r="H943" s="23"/>
    </row>
    <row r="944">
      <c r="G944" s="25"/>
      <c r="H944" s="23"/>
    </row>
    <row r="945">
      <c r="G945" s="25"/>
      <c r="H945" s="23"/>
    </row>
    <row r="946">
      <c r="G946" s="25"/>
      <c r="H946" s="23"/>
    </row>
    <row r="947">
      <c r="G947" s="25"/>
      <c r="H947" s="23"/>
    </row>
    <row r="948">
      <c r="G948" s="25"/>
      <c r="H948" s="23"/>
    </row>
    <row r="949">
      <c r="G949" s="25"/>
      <c r="H949" s="23"/>
    </row>
    <row r="950">
      <c r="G950" s="25"/>
      <c r="H950" s="23"/>
    </row>
    <row r="951">
      <c r="G951" s="25"/>
      <c r="H951" s="23"/>
    </row>
    <row r="952">
      <c r="G952" s="25"/>
      <c r="H952" s="23"/>
    </row>
    <row r="953">
      <c r="G953" s="25"/>
      <c r="H953" s="23"/>
    </row>
    <row r="954">
      <c r="G954" s="25"/>
      <c r="H954" s="23"/>
    </row>
    <row r="955">
      <c r="G955" s="25"/>
      <c r="H955" s="23"/>
    </row>
    <row r="956">
      <c r="G956" s="25"/>
      <c r="H956" s="23"/>
    </row>
    <row r="957">
      <c r="G957" s="25"/>
      <c r="H957" s="23"/>
    </row>
    <row r="958">
      <c r="G958" s="25"/>
      <c r="H958" s="23"/>
    </row>
    <row r="959">
      <c r="G959" s="25"/>
      <c r="H959" s="23"/>
    </row>
    <row r="960">
      <c r="G960" s="25"/>
      <c r="H960" s="23"/>
    </row>
    <row r="961">
      <c r="G961" s="25"/>
      <c r="H961" s="23"/>
    </row>
    <row r="962">
      <c r="G962" s="25"/>
      <c r="H962" s="23"/>
    </row>
    <row r="963">
      <c r="G963" s="25"/>
      <c r="H963" s="23"/>
    </row>
    <row r="964">
      <c r="G964" s="25"/>
      <c r="H964" s="23"/>
    </row>
    <row r="965">
      <c r="G965" s="25"/>
      <c r="H965" s="23"/>
    </row>
    <row r="966">
      <c r="G966" s="25"/>
      <c r="H966" s="23"/>
    </row>
    <row r="967">
      <c r="G967" s="25"/>
      <c r="H967" s="23"/>
    </row>
    <row r="968">
      <c r="G968" s="25"/>
      <c r="H968" s="23"/>
    </row>
    <row r="969">
      <c r="G969" s="25"/>
      <c r="H969" s="23"/>
    </row>
    <row r="970">
      <c r="G970" s="25"/>
      <c r="H970" s="23"/>
    </row>
    <row r="971">
      <c r="G971" s="25"/>
      <c r="H971" s="23"/>
    </row>
    <row r="972">
      <c r="G972" s="25"/>
      <c r="H972" s="23"/>
    </row>
    <row r="973">
      <c r="G973" s="25"/>
      <c r="H973" s="23"/>
    </row>
    <row r="974">
      <c r="G974" s="25"/>
      <c r="H974" s="23"/>
    </row>
    <row r="975">
      <c r="G975" s="25"/>
      <c r="H975" s="23"/>
    </row>
    <row r="976">
      <c r="G976" s="25"/>
      <c r="H976" s="23"/>
    </row>
    <row r="977">
      <c r="G977" s="25"/>
      <c r="H977" s="23"/>
    </row>
    <row r="978">
      <c r="G978" s="25"/>
      <c r="H978" s="23"/>
    </row>
    <row r="979">
      <c r="G979" s="25"/>
      <c r="H979" s="23"/>
    </row>
    <row r="980">
      <c r="G980" s="25"/>
      <c r="H980" s="23"/>
    </row>
    <row r="981">
      <c r="G981" s="25"/>
      <c r="H981" s="23"/>
    </row>
    <row r="982">
      <c r="G982" s="25"/>
      <c r="H982" s="23"/>
    </row>
    <row r="983">
      <c r="G983" s="25"/>
      <c r="H983" s="23"/>
    </row>
    <row r="984">
      <c r="G984" s="25"/>
      <c r="H984" s="23"/>
    </row>
    <row r="985">
      <c r="G985" s="25"/>
      <c r="H985" s="23"/>
    </row>
    <row r="986">
      <c r="G986" s="25"/>
      <c r="H986" s="23"/>
    </row>
    <row r="987">
      <c r="G987" s="25"/>
      <c r="H987" s="23"/>
    </row>
    <row r="988">
      <c r="G988" s="25"/>
      <c r="H988" s="23"/>
    </row>
    <row r="989">
      <c r="G989" s="25"/>
      <c r="H989" s="23"/>
    </row>
    <row r="990">
      <c r="G990" s="25"/>
      <c r="H990" s="23"/>
    </row>
    <row r="991">
      <c r="G991" s="25"/>
      <c r="H991" s="23"/>
    </row>
    <row r="992">
      <c r="G992" s="25"/>
      <c r="H992" s="23"/>
    </row>
    <row r="993">
      <c r="G993" s="25"/>
      <c r="H993" s="23"/>
    </row>
    <row r="994">
      <c r="G994" s="25"/>
      <c r="H994" s="23"/>
    </row>
    <row r="995">
      <c r="G995" s="25"/>
      <c r="H995" s="23"/>
    </row>
    <row r="996">
      <c r="G996" s="25"/>
      <c r="H996" s="23"/>
    </row>
    <row r="997">
      <c r="G997" s="25"/>
      <c r="H997" s="23"/>
    </row>
    <row r="998">
      <c r="G998" s="25"/>
      <c r="H998" s="23"/>
    </row>
    <row r="999">
      <c r="G999" s="25"/>
      <c r="H999" s="23"/>
    </row>
    <row r="1000">
      <c r="G1000" s="25"/>
      <c r="H1000" s="23"/>
    </row>
    <row r="1001">
      <c r="G1001" s="25"/>
      <c r="H1001" s="23"/>
    </row>
    <row r="1002">
      <c r="G1002" s="25"/>
      <c r="H1002" s="23"/>
    </row>
    <row r="1003">
      <c r="G1003" s="25"/>
      <c r="H1003" s="23"/>
    </row>
    <row r="1004">
      <c r="G1004" s="25"/>
      <c r="H1004" s="23"/>
    </row>
    <row r="1005">
      <c r="G1005" s="25"/>
      <c r="H1005" s="23"/>
    </row>
    <row r="1006">
      <c r="G1006" s="25"/>
      <c r="H1006" s="23"/>
    </row>
    <row r="1007">
      <c r="G1007" s="25"/>
      <c r="H1007" s="23"/>
    </row>
    <row r="1008">
      <c r="G1008" s="25"/>
      <c r="H1008" s="23"/>
    </row>
    <row r="1009">
      <c r="G1009" s="25"/>
      <c r="H1009" s="23"/>
    </row>
    <row r="1010">
      <c r="G1010" s="25"/>
      <c r="H1010" s="23"/>
    </row>
    <row r="1011">
      <c r="G1011" s="25"/>
      <c r="H1011" s="2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6" t="s">
        <v>6</v>
      </c>
      <c r="H1" s="3" t="s">
        <v>7</v>
      </c>
      <c r="I1" s="1" t="s">
        <v>8</v>
      </c>
      <c r="J1" s="1" t="s">
        <v>17</v>
      </c>
      <c r="K1" s="1" t="s">
        <v>18</v>
      </c>
    </row>
    <row r="2">
      <c r="A2" s="5">
        <v>46146.0</v>
      </c>
      <c r="B2" s="6">
        <v>1.0</v>
      </c>
      <c r="C2" s="6" t="s">
        <v>11</v>
      </c>
      <c r="D2" s="6" t="s">
        <v>12</v>
      </c>
      <c r="F2" s="6">
        <v>1.0</v>
      </c>
      <c r="G2" s="7">
        <v>60.031</v>
      </c>
      <c r="H2" s="8"/>
      <c r="I2" s="6">
        <v>2232.2</v>
      </c>
      <c r="K2" s="6" t="s">
        <v>13</v>
      </c>
    </row>
    <row r="3">
      <c r="A3" s="5">
        <v>46146.0</v>
      </c>
      <c r="B3" s="6">
        <v>1.0</v>
      </c>
      <c r="C3" s="6" t="s">
        <v>11</v>
      </c>
      <c r="D3" s="6" t="s">
        <v>12</v>
      </c>
      <c r="F3" s="6">
        <v>2.0</v>
      </c>
      <c r="G3" s="9">
        <v>60.079</v>
      </c>
      <c r="H3" s="8"/>
      <c r="I3" s="6">
        <v>2227.2</v>
      </c>
    </row>
    <row r="4">
      <c r="A4" s="5">
        <v>46146.0</v>
      </c>
      <c r="B4" s="6">
        <v>1.0</v>
      </c>
      <c r="C4" s="6" t="s">
        <v>11</v>
      </c>
      <c r="D4" s="6" t="s">
        <v>12</v>
      </c>
      <c r="F4" s="6">
        <v>3.0</v>
      </c>
      <c r="G4" s="9">
        <v>60.012</v>
      </c>
      <c r="H4" s="8"/>
      <c r="I4" s="6">
        <v>2225.9</v>
      </c>
      <c r="J4" s="10">
        <f>average(I3:I4)</f>
        <v>2226.55</v>
      </c>
    </row>
    <row r="5">
      <c r="A5" s="5">
        <v>46146.0</v>
      </c>
      <c r="B5" s="6">
        <v>1.0</v>
      </c>
      <c r="C5" s="6" t="s">
        <v>11</v>
      </c>
      <c r="D5" s="1">
        <v>1.0</v>
      </c>
      <c r="F5" s="6">
        <v>1.0</v>
      </c>
      <c r="G5" s="11">
        <v>60.018</v>
      </c>
      <c r="H5" s="8"/>
      <c r="I5" s="6">
        <v>2197.0</v>
      </c>
    </row>
    <row r="6">
      <c r="A6" s="5">
        <v>46146.0</v>
      </c>
      <c r="B6" s="6">
        <v>1.0</v>
      </c>
      <c r="C6" s="6" t="s">
        <v>11</v>
      </c>
      <c r="D6" s="1">
        <v>1.0</v>
      </c>
      <c r="F6" s="6">
        <v>2.0</v>
      </c>
      <c r="G6" s="11">
        <v>60.028</v>
      </c>
      <c r="H6" s="8"/>
      <c r="I6" s="6">
        <v>2199.6</v>
      </c>
      <c r="J6" s="10">
        <f>average(I5:I6)</f>
        <v>2198.3</v>
      </c>
    </row>
    <row r="7">
      <c r="A7" s="5"/>
      <c r="D7" s="1"/>
      <c r="G7" s="11"/>
      <c r="H7" s="8"/>
    </row>
    <row r="8">
      <c r="A8" s="5">
        <v>46146.0</v>
      </c>
      <c r="B8" s="6">
        <v>1.0</v>
      </c>
      <c r="C8" s="6" t="s">
        <v>11</v>
      </c>
      <c r="D8" s="6">
        <v>2.0</v>
      </c>
      <c r="E8" s="10">
        <f>52.601+180</f>
        <v>232.601</v>
      </c>
      <c r="F8" s="6">
        <v>1.0</v>
      </c>
      <c r="G8" s="11">
        <v>60.026</v>
      </c>
      <c r="H8" s="8"/>
      <c r="I8" s="6">
        <v>2164.9</v>
      </c>
    </row>
    <row r="9">
      <c r="A9" s="5">
        <v>46146.0</v>
      </c>
      <c r="B9" s="6">
        <v>1.0</v>
      </c>
      <c r="C9" s="6" t="s">
        <v>11</v>
      </c>
      <c r="D9" s="6">
        <v>2.0</v>
      </c>
      <c r="F9" s="6">
        <v>2.0</v>
      </c>
      <c r="G9" s="11">
        <v>60.045</v>
      </c>
      <c r="H9" s="8"/>
      <c r="I9" s="6">
        <v>2164.2</v>
      </c>
      <c r="J9" s="10">
        <f>average(I8:I9)</f>
        <v>2164.55</v>
      </c>
    </row>
    <row r="10">
      <c r="A10" s="5"/>
      <c r="G10" s="11"/>
      <c r="H10" s="8"/>
    </row>
    <row r="11">
      <c r="A11" s="5">
        <v>46146.0</v>
      </c>
      <c r="B11" s="6">
        <v>1.0</v>
      </c>
      <c r="C11" s="6" t="s">
        <v>11</v>
      </c>
      <c r="D11" s="6">
        <v>3.0</v>
      </c>
      <c r="E11" s="10">
        <f>52.436+180</f>
        <v>232.436</v>
      </c>
      <c r="F11" s="6">
        <v>1.0</v>
      </c>
      <c r="G11" s="11">
        <v>60.068</v>
      </c>
      <c r="H11" s="8"/>
      <c r="I11" s="6">
        <v>2190.1</v>
      </c>
    </row>
    <row r="12">
      <c r="A12" s="5">
        <v>46146.0</v>
      </c>
      <c r="B12" s="6">
        <v>1.0</v>
      </c>
      <c r="C12" s="6" t="s">
        <v>11</v>
      </c>
      <c r="D12" s="6">
        <v>3.0</v>
      </c>
      <c r="F12" s="6">
        <v>2.0</v>
      </c>
      <c r="G12" s="11">
        <v>60.088</v>
      </c>
      <c r="H12" s="8"/>
      <c r="I12" s="6">
        <v>2187.7</v>
      </c>
      <c r="J12" s="10">
        <f>average(I11:I12)</f>
        <v>2188.9</v>
      </c>
    </row>
    <row r="13">
      <c r="A13" s="5"/>
      <c r="G13" s="9"/>
      <c r="H13" s="8"/>
    </row>
    <row r="14">
      <c r="A14" s="5">
        <v>46146.0</v>
      </c>
      <c r="B14" s="6">
        <v>1.0</v>
      </c>
      <c r="C14" s="6" t="s">
        <v>11</v>
      </c>
      <c r="D14" s="6">
        <v>4.0</v>
      </c>
      <c r="E14" s="10">
        <f>46.396+180</f>
        <v>226.396</v>
      </c>
      <c r="F14" s="6">
        <v>1.0</v>
      </c>
      <c r="G14" s="11">
        <v>60.051</v>
      </c>
      <c r="H14" s="8"/>
      <c r="I14" s="6">
        <v>2197.7</v>
      </c>
    </row>
    <row r="15">
      <c r="A15" s="5">
        <v>46146.0</v>
      </c>
      <c r="B15" s="6">
        <v>1.0</v>
      </c>
      <c r="C15" s="6" t="s">
        <v>11</v>
      </c>
      <c r="D15" s="6">
        <v>4.0</v>
      </c>
      <c r="F15" s="6">
        <v>2.0</v>
      </c>
      <c r="G15" s="11">
        <v>60.037</v>
      </c>
      <c r="H15" s="8"/>
      <c r="I15" s="6">
        <v>2203.0</v>
      </c>
    </row>
    <row r="16">
      <c r="A16" s="5">
        <v>46146.0</v>
      </c>
      <c r="F16" s="6">
        <v>3.0</v>
      </c>
      <c r="G16" s="11">
        <v>60.052</v>
      </c>
      <c r="H16" s="8"/>
      <c r="I16" s="6">
        <v>2198.1</v>
      </c>
      <c r="J16" s="10">
        <f>average(I14,I16)</f>
        <v>2197.9</v>
      </c>
    </row>
    <row r="17">
      <c r="A17" s="5">
        <v>46146.0</v>
      </c>
      <c r="B17" s="6">
        <v>1.0</v>
      </c>
      <c r="C17" s="6" t="s">
        <v>11</v>
      </c>
      <c r="D17" s="6">
        <v>5.0</v>
      </c>
      <c r="E17" s="10">
        <f>54.345+180</f>
        <v>234.345</v>
      </c>
      <c r="F17" s="6">
        <v>1.0</v>
      </c>
      <c r="G17" s="11">
        <v>60.044</v>
      </c>
      <c r="H17" s="8"/>
      <c r="I17" s="6">
        <v>2179.0</v>
      </c>
    </row>
    <row r="18">
      <c r="A18" s="5">
        <v>46146.0</v>
      </c>
      <c r="B18" s="6">
        <v>1.0</v>
      </c>
      <c r="C18" s="6" t="s">
        <v>11</v>
      </c>
      <c r="D18" s="6">
        <v>5.0</v>
      </c>
      <c r="F18" s="6">
        <v>2.0</v>
      </c>
      <c r="G18" s="11">
        <v>60.048</v>
      </c>
      <c r="H18" s="8"/>
      <c r="I18" s="6">
        <v>2174.0</v>
      </c>
    </row>
    <row r="19">
      <c r="A19" s="5">
        <v>46146.0</v>
      </c>
      <c r="B19" s="6">
        <v>1.0</v>
      </c>
      <c r="C19" s="6" t="s">
        <v>11</v>
      </c>
      <c r="D19" s="6">
        <v>5.0</v>
      </c>
      <c r="F19" s="6">
        <v>3.0</v>
      </c>
      <c r="G19" s="11">
        <v>60.012</v>
      </c>
      <c r="H19" s="8"/>
      <c r="I19" s="6">
        <v>2176.5</v>
      </c>
      <c r="J19" s="10">
        <f>average(I18:I19)</f>
        <v>2175.25</v>
      </c>
    </row>
    <row r="20">
      <c r="A20" s="5">
        <v>46146.0</v>
      </c>
      <c r="B20" s="6">
        <v>1.0</v>
      </c>
      <c r="C20" s="6" t="s">
        <v>11</v>
      </c>
      <c r="D20" s="6">
        <v>6.0</v>
      </c>
      <c r="E20" s="10">
        <f>56.509+180</f>
        <v>236.509</v>
      </c>
      <c r="F20" s="6">
        <v>1.0</v>
      </c>
      <c r="G20" s="11">
        <v>60.019</v>
      </c>
      <c r="H20" s="8"/>
      <c r="I20" s="6">
        <v>2194.6</v>
      </c>
    </row>
    <row r="21">
      <c r="A21" s="5">
        <v>46146.0</v>
      </c>
      <c r="B21" s="6">
        <v>1.0</v>
      </c>
      <c r="C21" s="6" t="s">
        <v>11</v>
      </c>
      <c r="D21" s="6">
        <v>6.0</v>
      </c>
      <c r="F21" s="6">
        <v>2.0</v>
      </c>
      <c r="G21" s="11">
        <v>60.082</v>
      </c>
      <c r="H21" s="8"/>
      <c r="I21" s="11">
        <v>2190.9</v>
      </c>
    </row>
    <row r="22">
      <c r="A22" s="5">
        <v>46146.0</v>
      </c>
      <c r="B22" s="6">
        <v>1.0</v>
      </c>
      <c r="C22" s="6" t="s">
        <v>11</v>
      </c>
      <c r="D22" s="6">
        <v>6.0</v>
      </c>
      <c r="F22" s="6">
        <v>3.0</v>
      </c>
      <c r="G22" s="11">
        <v>60.062</v>
      </c>
      <c r="H22" s="8"/>
      <c r="I22" s="6">
        <v>2195.0</v>
      </c>
      <c r="J22" s="10">
        <f>average(I20,I22)</f>
        <v>2194.8</v>
      </c>
    </row>
    <row r="23">
      <c r="A23" s="5">
        <v>46146.0</v>
      </c>
      <c r="B23" s="6">
        <v>1.0</v>
      </c>
      <c r="C23" s="6" t="s">
        <v>11</v>
      </c>
      <c r="D23" s="6">
        <v>7.0</v>
      </c>
      <c r="E23" s="10">
        <f>55.255+180</f>
        <v>235.255</v>
      </c>
      <c r="F23" s="6">
        <v>1.0</v>
      </c>
      <c r="G23" s="11">
        <v>60.031</v>
      </c>
      <c r="H23" s="8"/>
      <c r="I23" s="6">
        <v>2234.4</v>
      </c>
    </row>
    <row r="24">
      <c r="A24" s="5">
        <v>46146.0</v>
      </c>
      <c r="B24" s="6">
        <v>1.0</v>
      </c>
      <c r="C24" s="6" t="s">
        <v>11</v>
      </c>
      <c r="D24" s="6">
        <v>7.0</v>
      </c>
      <c r="F24" s="6">
        <v>2.0</v>
      </c>
      <c r="G24" s="11">
        <v>60.004</v>
      </c>
      <c r="H24" s="8"/>
      <c r="I24" s="6">
        <v>2251.2</v>
      </c>
    </row>
    <row r="25">
      <c r="A25" s="5">
        <v>46146.0</v>
      </c>
      <c r="F25" s="6">
        <v>3.0</v>
      </c>
      <c r="G25" s="11">
        <v>60.029</v>
      </c>
      <c r="H25" s="8"/>
      <c r="I25" s="6">
        <v>2247.2</v>
      </c>
      <c r="J25" s="10">
        <f>average(I24:I25)</f>
        <v>2249.2</v>
      </c>
    </row>
    <row r="26">
      <c r="A26" s="5">
        <v>46146.0</v>
      </c>
      <c r="B26" s="6">
        <v>1.0</v>
      </c>
      <c r="C26" s="6" t="s">
        <v>11</v>
      </c>
      <c r="D26" s="6">
        <v>8.0</v>
      </c>
      <c r="E26" s="10">
        <f>56.165+180</f>
        <v>236.165</v>
      </c>
      <c r="F26" s="6">
        <v>1.0</v>
      </c>
      <c r="G26" s="11">
        <v>60.002</v>
      </c>
      <c r="H26" s="8"/>
      <c r="I26" s="6">
        <v>2209.3</v>
      </c>
    </row>
    <row r="27">
      <c r="A27" s="5">
        <v>46146.0</v>
      </c>
      <c r="B27" s="6">
        <v>1.0</v>
      </c>
      <c r="C27" s="6" t="s">
        <v>11</v>
      </c>
      <c r="D27" s="6">
        <v>8.0</v>
      </c>
      <c r="F27" s="6">
        <v>2.0</v>
      </c>
      <c r="G27" s="11">
        <v>60.012</v>
      </c>
      <c r="H27" s="8"/>
      <c r="I27" s="6">
        <v>2213.3</v>
      </c>
    </row>
    <row r="28">
      <c r="A28" s="5">
        <v>46146.0</v>
      </c>
      <c r="F28" s="6">
        <v>3.0</v>
      </c>
      <c r="G28" s="11">
        <v>60.027</v>
      </c>
      <c r="H28" s="8"/>
      <c r="I28" s="6">
        <v>2207.7</v>
      </c>
      <c r="J28" s="10">
        <f>average(I26,I28)</f>
        <v>2208.5</v>
      </c>
    </row>
    <row r="29">
      <c r="A29" s="5">
        <v>46146.0</v>
      </c>
      <c r="B29" s="6">
        <v>1.0</v>
      </c>
      <c r="C29" s="6" t="s">
        <v>11</v>
      </c>
      <c r="D29" s="6">
        <v>9.0</v>
      </c>
      <c r="E29" s="10">
        <f>45.504+180</f>
        <v>225.504</v>
      </c>
      <c r="F29" s="6">
        <v>1.0</v>
      </c>
      <c r="G29" s="11">
        <v>60.009</v>
      </c>
      <c r="H29" s="8"/>
      <c r="I29" s="6">
        <v>2206.1</v>
      </c>
    </row>
    <row r="30">
      <c r="A30" s="5">
        <v>46146.0</v>
      </c>
      <c r="C30" s="6" t="s">
        <v>11</v>
      </c>
      <c r="D30" s="6">
        <v>9.0</v>
      </c>
      <c r="F30" s="6">
        <v>2.0</v>
      </c>
      <c r="G30" s="11">
        <v>60.017</v>
      </c>
      <c r="H30" s="8"/>
      <c r="I30" s="6">
        <v>2209.9</v>
      </c>
      <c r="J30" s="10">
        <f>average(I29:I30)</f>
        <v>2208</v>
      </c>
    </row>
    <row r="31">
      <c r="A31" s="5">
        <v>46146.0</v>
      </c>
      <c r="F31" s="6">
        <v>3.0</v>
      </c>
      <c r="G31" s="11">
        <v>60.047</v>
      </c>
      <c r="H31" s="8"/>
      <c r="I31" s="6">
        <v>2190.4</v>
      </c>
    </row>
    <row r="32">
      <c r="A32" s="5">
        <v>46146.0</v>
      </c>
      <c r="C32" s="6" t="s">
        <v>11</v>
      </c>
      <c r="D32" s="6">
        <v>10.0</v>
      </c>
      <c r="E32" s="10">
        <f>48.576+180</f>
        <v>228.576</v>
      </c>
      <c r="F32" s="6">
        <v>1.0</v>
      </c>
      <c r="G32" s="11">
        <v>60.045</v>
      </c>
      <c r="H32" s="8"/>
      <c r="I32" s="6">
        <v>2210.7</v>
      </c>
    </row>
    <row r="33">
      <c r="A33" s="5">
        <v>46146.0</v>
      </c>
      <c r="C33" s="6" t="s">
        <v>11</v>
      </c>
      <c r="D33" s="6">
        <v>10.0</v>
      </c>
      <c r="F33" s="6">
        <v>2.0</v>
      </c>
      <c r="G33" s="11">
        <v>60.052</v>
      </c>
      <c r="H33" s="8"/>
      <c r="I33" s="6">
        <v>2210.1</v>
      </c>
      <c r="J33" s="10">
        <f>average(I32:I33)</f>
        <v>2210.4</v>
      </c>
    </row>
    <row r="34">
      <c r="A34" s="5"/>
      <c r="G34" s="11"/>
      <c r="H34" s="8"/>
    </row>
    <row r="35">
      <c r="A35" s="5">
        <v>46146.0</v>
      </c>
      <c r="C35" s="6" t="s">
        <v>11</v>
      </c>
      <c r="D35" s="6">
        <v>11.0</v>
      </c>
      <c r="E35" s="10">
        <f>51.093+180</f>
        <v>231.093</v>
      </c>
      <c r="F35" s="6">
        <v>1.0</v>
      </c>
      <c r="G35" s="11">
        <v>60.029</v>
      </c>
      <c r="H35" s="8"/>
      <c r="I35" s="6">
        <v>2171.8</v>
      </c>
    </row>
    <row r="36">
      <c r="A36" s="5">
        <v>46146.0</v>
      </c>
      <c r="C36" s="6" t="s">
        <v>11</v>
      </c>
      <c r="D36" s="6">
        <v>11.0</v>
      </c>
      <c r="F36" s="6">
        <v>2.0</v>
      </c>
      <c r="G36" s="11">
        <v>60.008</v>
      </c>
      <c r="H36" s="8"/>
      <c r="I36" s="6">
        <v>2173.9</v>
      </c>
      <c r="J36" s="10">
        <f>average(I35:I36)</f>
        <v>2172.85</v>
      </c>
    </row>
    <row r="37">
      <c r="A37" s="5"/>
      <c r="G37" s="11"/>
      <c r="H37" s="8"/>
    </row>
    <row r="38">
      <c r="A38" s="5">
        <v>46146.0</v>
      </c>
      <c r="C38" s="6" t="s">
        <v>11</v>
      </c>
      <c r="D38" s="6">
        <v>12.0</v>
      </c>
      <c r="E38" s="10">
        <f>45.139+180</f>
        <v>225.139</v>
      </c>
      <c r="F38" s="6">
        <v>1.0</v>
      </c>
      <c r="G38" s="11">
        <v>60.028</v>
      </c>
      <c r="H38" s="8"/>
      <c r="I38" s="6">
        <v>2211.5</v>
      </c>
    </row>
    <row r="39">
      <c r="A39" s="5">
        <v>46146.0</v>
      </c>
      <c r="C39" s="6" t="s">
        <v>11</v>
      </c>
      <c r="D39" s="6">
        <v>12.0</v>
      </c>
      <c r="F39" s="6">
        <v>2.0</v>
      </c>
      <c r="G39" s="11">
        <v>60.083</v>
      </c>
      <c r="H39" s="8"/>
      <c r="I39" s="6">
        <v>2212.4</v>
      </c>
      <c r="J39" s="10">
        <f>average(I38:I39)</f>
        <v>2211.95</v>
      </c>
    </row>
    <row r="40">
      <c r="A40" s="5"/>
      <c r="G40" s="11"/>
      <c r="H40" s="8"/>
    </row>
    <row r="41">
      <c r="A41" s="5">
        <v>46146.0</v>
      </c>
      <c r="C41" s="6" t="s">
        <v>11</v>
      </c>
      <c r="D41" s="6">
        <v>13.0</v>
      </c>
      <c r="E41" s="10">
        <f>51.331+180</f>
        <v>231.331</v>
      </c>
      <c r="F41" s="6">
        <v>1.0</v>
      </c>
      <c r="G41" s="11">
        <v>60.039</v>
      </c>
      <c r="H41" s="8"/>
      <c r="I41" s="6">
        <v>2163.2</v>
      </c>
    </row>
    <row r="42">
      <c r="A42" s="5">
        <v>46146.0</v>
      </c>
      <c r="C42" s="6" t="s">
        <v>11</v>
      </c>
      <c r="D42" s="6">
        <v>13.0</v>
      </c>
      <c r="F42" s="6">
        <v>2.0</v>
      </c>
      <c r="G42" s="11">
        <v>60.009</v>
      </c>
      <c r="H42" s="8"/>
      <c r="I42" s="6">
        <v>2164.2</v>
      </c>
      <c r="J42" s="10">
        <f>average(I41:I42)</f>
        <v>2163.7</v>
      </c>
    </row>
    <row r="43">
      <c r="A43" s="5"/>
      <c r="G43" s="11"/>
      <c r="H43" s="8"/>
    </row>
    <row r="44">
      <c r="A44" s="5">
        <v>46146.0</v>
      </c>
      <c r="B44" s="6">
        <v>2.0</v>
      </c>
      <c r="C44" s="6" t="s">
        <v>11</v>
      </c>
      <c r="D44" s="1">
        <v>14.0</v>
      </c>
      <c r="F44" s="6">
        <v>1.0</v>
      </c>
      <c r="G44" s="11">
        <v>60.036</v>
      </c>
      <c r="H44" s="8"/>
      <c r="I44" s="6">
        <v>2206.6</v>
      </c>
    </row>
    <row r="45">
      <c r="A45" s="5">
        <v>46146.0</v>
      </c>
      <c r="B45" s="6">
        <v>2.0</v>
      </c>
      <c r="C45" s="6" t="s">
        <v>11</v>
      </c>
      <c r="D45" s="1">
        <v>14.0</v>
      </c>
      <c r="F45" s="6">
        <v>2.0</v>
      </c>
      <c r="G45" s="11">
        <v>60.048</v>
      </c>
      <c r="H45" s="8"/>
      <c r="I45" s="6">
        <v>2207.6</v>
      </c>
      <c r="J45" s="10">
        <f>average(I44:I45)</f>
        <v>2207.1</v>
      </c>
    </row>
    <row r="46">
      <c r="A46" s="5"/>
      <c r="D46" s="1"/>
      <c r="G46" s="11"/>
      <c r="H46" s="8"/>
    </row>
    <row r="47">
      <c r="A47" s="5">
        <v>46146.0</v>
      </c>
      <c r="C47" s="6" t="s">
        <v>11</v>
      </c>
      <c r="D47" s="6">
        <v>15.0</v>
      </c>
      <c r="E47" s="10">
        <f>56.52+180</f>
        <v>236.52</v>
      </c>
      <c r="F47" s="6">
        <v>1.0</v>
      </c>
      <c r="G47" s="11">
        <v>60.002</v>
      </c>
      <c r="H47" s="8"/>
      <c r="I47" s="6">
        <v>2178.2</v>
      </c>
    </row>
    <row r="48">
      <c r="A48" s="5">
        <v>46146.0</v>
      </c>
      <c r="C48" s="6" t="s">
        <v>11</v>
      </c>
      <c r="D48" s="6">
        <v>15.0</v>
      </c>
      <c r="F48" s="6">
        <v>2.0</v>
      </c>
      <c r="G48" s="11">
        <v>60.031</v>
      </c>
      <c r="H48" s="8"/>
      <c r="I48" s="6">
        <v>2164.7</v>
      </c>
    </row>
    <row r="49">
      <c r="A49" s="5">
        <v>46146.0</v>
      </c>
      <c r="F49" s="6">
        <v>3.0</v>
      </c>
      <c r="G49" s="11">
        <v>60.001</v>
      </c>
      <c r="H49" s="8"/>
      <c r="I49" s="6">
        <v>2168.0</v>
      </c>
      <c r="J49" s="10">
        <f>average(I48:I49)</f>
        <v>2166.35</v>
      </c>
    </row>
    <row r="50">
      <c r="A50" s="5">
        <v>46146.0</v>
      </c>
      <c r="C50" s="6" t="s">
        <v>11</v>
      </c>
      <c r="D50" s="6">
        <v>16.0</v>
      </c>
      <c r="E50" s="10">
        <f>50.64+180</f>
        <v>230.64</v>
      </c>
      <c r="F50" s="6">
        <v>1.0</v>
      </c>
      <c r="G50" s="11">
        <v>60.074</v>
      </c>
      <c r="H50" s="8"/>
      <c r="I50" s="6">
        <v>2175.8</v>
      </c>
    </row>
    <row r="51">
      <c r="A51" s="5">
        <v>46146.0</v>
      </c>
      <c r="C51" s="6" t="s">
        <v>11</v>
      </c>
      <c r="D51" s="6">
        <v>16.0</v>
      </c>
      <c r="F51" s="6">
        <v>2.0</v>
      </c>
      <c r="G51" s="6">
        <v>60.06</v>
      </c>
      <c r="H51" s="8"/>
      <c r="K51" s="6" t="s">
        <v>15</v>
      </c>
    </row>
    <row r="52">
      <c r="A52" s="5">
        <v>46146.0</v>
      </c>
      <c r="C52" s="6" t="s">
        <v>11</v>
      </c>
      <c r="D52" s="6">
        <v>16.0</v>
      </c>
      <c r="F52" s="6">
        <v>3.0</v>
      </c>
      <c r="G52" s="11">
        <v>60.084</v>
      </c>
      <c r="H52" s="8"/>
      <c r="I52" s="6">
        <v>2175.9</v>
      </c>
      <c r="J52" s="10">
        <f>average(I50,I52)</f>
        <v>2175.85</v>
      </c>
    </row>
    <row r="53">
      <c r="A53" s="5">
        <v>46146.0</v>
      </c>
      <c r="C53" s="6" t="s">
        <v>11</v>
      </c>
      <c r="D53" s="6">
        <v>17.0</v>
      </c>
      <c r="E53" s="10">
        <f>48.738+180</f>
        <v>228.738</v>
      </c>
      <c r="F53" s="6">
        <v>1.0</v>
      </c>
      <c r="G53" s="11">
        <v>60.037</v>
      </c>
      <c r="H53" s="8"/>
      <c r="I53" s="6">
        <v>2196.9</v>
      </c>
    </row>
    <row r="54">
      <c r="A54" s="5">
        <v>46146.0</v>
      </c>
      <c r="C54" s="6" t="s">
        <v>11</v>
      </c>
      <c r="D54" s="6">
        <v>17.0</v>
      </c>
      <c r="F54" s="6">
        <v>2.0</v>
      </c>
      <c r="G54" s="11">
        <v>60.056</v>
      </c>
      <c r="H54" s="8"/>
      <c r="I54" s="6">
        <v>2193.1</v>
      </c>
    </row>
    <row r="55">
      <c r="A55" s="5">
        <v>46146.0</v>
      </c>
      <c r="F55" s="6">
        <v>3.0</v>
      </c>
      <c r="G55" s="11">
        <v>60.041</v>
      </c>
      <c r="H55" s="8"/>
      <c r="I55" s="6">
        <v>2195.3</v>
      </c>
      <c r="J55" s="10">
        <f>average(I53,I55)</f>
        <v>2196.1</v>
      </c>
    </row>
    <row r="56">
      <c r="A56" s="5">
        <v>46146.0</v>
      </c>
      <c r="C56" s="6" t="s">
        <v>11</v>
      </c>
      <c r="D56" s="6">
        <v>18.0</v>
      </c>
      <c r="E56" s="10">
        <f>54.788+180</f>
        <v>234.788</v>
      </c>
      <c r="F56" s="6">
        <v>1.0</v>
      </c>
      <c r="G56" s="11">
        <v>60.083</v>
      </c>
      <c r="H56" s="8"/>
      <c r="I56" s="6">
        <v>2203.0</v>
      </c>
    </row>
    <row r="57">
      <c r="A57" s="5">
        <v>46146.0</v>
      </c>
      <c r="C57" s="6" t="s">
        <v>11</v>
      </c>
      <c r="D57" s="6">
        <v>18.0</v>
      </c>
      <c r="F57" s="6">
        <v>2.0</v>
      </c>
      <c r="G57" s="11">
        <v>60.036</v>
      </c>
      <c r="H57" s="8"/>
      <c r="I57" s="8">
        <v>2204.9</v>
      </c>
      <c r="J57" s="10">
        <f>average(I56:I57)</f>
        <v>2203.95</v>
      </c>
    </row>
    <row r="58">
      <c r="A58" s="5"/>
      <c r="G58" s="11"/>
      <c r="H58" s="8"/>
    </row>
    <row r="59">
      <c r="A59" s="5">
        <v>46146.0</v>
      </c>
      <c r="C59" s="6" t="s">
        <v>11</v>
      </c>
      <c r="D59" s="6">
        <v>19.0</v>
      </c>
      <c r="E59" s="10">
        <f>52.567+180</f>
        <v>232.567</v>
      </c>
      <c r="F59" s="6">
        <v>1.0</v>
      </c>
      <c r="G59" s="11">
        <v>60.048</v>
      </c>
      <c r="H59" s="8"/>
      <c r="I59" s="6">
        <v>2215.3</v>
      </c>
    </row>
    <row r="60">
      <c r="A60" s="5">
        <v>46146.0</v>
      </c>
      <c r="C60" s="6" t="s">
        <v>11</v>
      </c>
      <c r="D60" s="6">
        <v>19.0</v>
      </c>
      <c r="F60" s="6">
        <v>2.0</v>
      </c>
      <c r="G60" s="11">
        <v>60.036</v>
      </c>
      <c r="H60" s="8"/>
      <c r="I60" s="6">
        <v>2212.5</v>
      </c>
      <c r="J60" s="10">
        <f>average(I59:I60)</f>
        <v>2213.9</v>
      </c>
    </row>
    <row r="61">
      <c r="A61" s="5"/>
      <c r="G61" s="11"/>
      <c r="H61" s="8"/>
    </row>
    <row r="62">
      <c r="A62" s="5">
        <v>46146.0</v>
      </c>
      <c r="C62" s="6" t="s">
        <v>11</v>
      </c>
      <c r="D62" s="6">
        <v>20.0</v>
      </c>
      <c r="E62" s="10">
        <f>52.089+180</f>
        <v>232.089</v>
      </c>
      <c r="F62" s="6">
        <v>1.0</v>
      </c>
      <c r="G62" s="11">
        <v>60.013</v>
      </c>
      <c r="H62" s="8"/>
      <c r="I62" s="6">
        <v>2180.4</v>
      </c>
    </row>
    <row r="63">
      <c r="A63" s="5">
        <v>46146.0</v>
      </c>
      <c r="C63" s="6" t="s">
        <v>11</v>
      </c>
      <c r="D63" s="6">
        <v>20.0</v>
      </c>
      <c r="F63" s="6">
        <v>2.0</v>
      </c>
      <c r="G63" s="11">
        <v>60.026</v>
      </c>
      <c r="H63" s="8"/>
      <c r="I63" s="6">
        <v>2181.1</v>
      </c>
      <c r="J63" s="10">
        <f>average(I62:I63)</f>
        <v>2180.75</v>
      </c>
    </row>
    <row r="64">
      <c r="A64" s="5"/>
      <c r="G64" s="11"/>
      <c r="H64" s="8"/>
    </row>
    <row r="65">
      <c r="A65" s="5">
        <v>46146.0</v>
      </c>
      <c r="C65" s="6" t="s">
        <v>11</v>
      </c>
      <c r="D65" s="6">
        <v>21.0</v>
      </c>
      <c r="E65" s="10">
        <f>58.569+180</f>
        <v>238.569</v>
      </c>
      <c r="F65" s="6">
        <v>1.0</v>
      </c>
      <c r="G65" s="11">
        <v>60.029</v>
      </c>
      <c r="H65" s="8"/>
      <c r="I65" s="6">
        <v>2179.6</v>
      </c>
    </row>
    <row r="66">
      <c r="A66" s="5">
        <v>46146.0</v>
      </c>
      <c r="C66" s="6" t="s">
        <v>11</v>
      </c>
      <c r="D66" s="6">
        <v>21.0</v>
      </c>
      <c r="F66" s="6">
        <v>2.0</v>
      </c>
      <c r="G66" s="6">
        <v>60.068</v>
      </c>
      <c r="H66" s="8"/>
      <c r="I66" s="6">
        <v>2192.7</v>
      </c>
    </row>
    <row r="67">
      <c r="A67" s="5">
        <v>46146.0</v>
      </c>
      <c r="F67" s="6">
        <v>3.0</v>
      </c>
      <c r="G67" s="11">
        <v>60.097</v>
      </c>
      <c r="H67" s="8"/>
      <c r="I67" s="6">
        <v>2190.6</v>
      </c>
      <c r="J67" s="10">
        <f>average(I66:I67)</f>
        <v>2191.65</v>
      </c>
    </row>
    <row r="68">
      <c r="A68" s="5">
        <v>46146.0</v>
      </c>
      <c r="C68" s="6" t="s">
        <v>11</v>
      </c>
      <c r="D68" s="6">
        <v>22.0</v>
      </c>
      <c r="E68" s="10">
        <f>48.188+180</f>
        <v>228.188</v>
      </c>
      <c r="F68" s="6">
        <v>1.0</v>
      </c>
      <c r="G68" s="11">
        <v>60.063</v>
      </c>
      <c r="H68" s="8"/>
      <c r="I68" s="6">
        <v>2203.0</v>
      </c>
    </row>
    <row r="69">
      <c r="A69" s="5">
        <v>46146.0</v>
      </c>
      <c r="C69" s="6" t="s">
        <v>11</v>
      </c>
      <c r="D69" s="6">
        <v>22.0</v>
      </c>
      <c r="F69" s="6">
        <v>2.0</v>
      </c>
      <c r="G69" s="11">
        <v>60.054</v>
      </c>
      <c r="H69" s="8"/>
      <c r="I69" s="6">
        <v>2192.9</v>
      </c>
    </row>
    <row r="70">
      <c r="A70" s="5">
        <v>46146.0</v>
      </c>
      <c r="F70" s="6">
        <v>3.0</v>
      </c>
      <c r="G70" s="11">
        <v>60.055</v>
      </c>
      <c r="H70" s="8"/>
      <c r="I70" s="6">
        <v>2207.3</v>
      </c>
      <c r="J70" s="10">
        <f>average(I68,I70)</f>
        <v>2205.15</v>
      </c>
    </row>
    <row r="71">
      <c r="A71" s="5">
        <v>46146.0</v>
      </c>
      <c r="C71" s="6" t="s">
        <v>11</v>
      </c>
      <c r="D71" s="6">
        <v>23.0</v>
      </c>
      <c r="E71" s="10">
        <f>52.988+180</f>
        <v>232.988</v>
      </c>
      <c r="F71" s="6">
        <v>1.0</v>
      </c>
      <c r="G71" s="11">
        <v>60.085</v>
      </c>
      <c r="H71" s="8"/>
    </row>
    <row r="72">
      <c r="A72" s="5">
        <v>46146.0</v>
      </c>
      <c r="C72" s="6" t="s">
        <v>11</v>
      </c>
      <c r="D72" s="6">
        <v>23.0</v>
      </c>
      <c r="F72" s="6">
        <v>2.0</v>
      </c>
      <c r="G72" s="11">
        <v>60.084</v>
      </c>
      <c r="H72" s="8"/>
      <c r="I72" s="6">
        <v>2169.1</v>
      </c>
    </row>
    <row r="73">
      <c r="A73" s="5">
        <v>46146.0</v>
      </c>
      <c r="F73" s="6">
        <v>3.0</v>
      </c>
      <c r="G73" s="11">
        <v>60.031</v>
      </c>
      <c r="H73" s="8"/>
      <c r="I73" s="6">
        <v>2166.4</v>
      </c>
      <c r="J73" s="10">
        <f>average(I72:I73)</f>
        <v>2167.75</v>
      </c>
    </row>
    <row r="74">
      <c r="A74" s="5">
        <v>46146.0</v>
      </c>
      <c r="C74" s="6" t="s">
        <v>11</v>
      </c>
      <c r="D74" s="6">
        <v>24.0</v>
      </c>
      <c r="E74" s="10">
        <f>58.78+180</f>
        <v>238.78</v>
      </c>
      <c r="F74" s="6">
        <v>1.0</v>
      </c>
      <c r="G74" s="11">
        <v>60.092</v>
      </c>
      <c r="H74" s="8"/>
      <c r="I74" s="6">
        <v>2215.9</v>
      </c>
    </row>
    <row r="75">
      <c r="A75" s="5">
        <v>46146.0</v>
      </c>
      <c r="C75" s="6" t="s">
        <v>11</v>
      </c>
      <c r="D75" s="6">
        <v>24.0</v>
      </c>
      <c r="F75" s="6">
        <v>2.0</v>
      </c>
      <c r="G75" s="11">
        <v>60.04</v>
      </c>
      <c r="H75" s="8"/>
      <c r="I75" s="6">
        <v>2215.6</v>
      </c>
      <c r="J75" s="10">
        <f>average(I74:I75)</f>
        <v>2215.75</v>
      </c>
    </row>
    <row r="76">
      <c r="A76" s="5"/>
      <c r="G76" s="11"/>
      <c r="H76" s="8"/>
    </row>
    <row r="77">
      <c r="A77" s="5">
        <v>46146.0</v>
      </c>
      <c r="C77" s="6" t="s">
        <v>11</v>
      </c>
      <c r="D77" s="6">
        <v>25.0</v>
      </c>
      <c r="E77" s="10">
        <f>34.492+180</f>
        <v>214.492</v>
      </c>
      <c r="F77" s="6">
        <v>1.0</v>
      </c>
      <c r="G77" s="11">
        <v>60.049</v>
      </c>
      <c r="H77" s="8"/>
      <c r="K77" s="6" t="s">
        <v>19</v>
      </c>
    </row>
    <row r="78">
      <c r="A78" s="5">
        <v>46146.0</v>
      </c>
      <c r="C78" s="6" t="s">
        <v>11</v>
      </c>
      <c r="D78" s="6">
        <v>25.0</v>
      </c>
      <c r="F78" s="6">
        <v>2.0</v>
      </c>
      <c r="G78" s="11">
        <v>60.065</v>
      </c>
      <c r="H78" s="8"/>
      <c r="I78" s="6">
        <v>2159.2</v>
      </c>
      <c r="J78" s="10">
        <f>average(I77:I78)</f>
        <v>2159.2</v>
      </c>
    </row>
    <row r="79">
      <c r="A79" s="5">
        <v>46146.0</v>
      </c>
      <c r="C79" s="6" t="s">
        <v>11</v>
      </c>
      <c r="D79" s="6">
        <v>25.0</v>
      </c>
      <c r="F79" s="6">
        <v>3.0</v>
      </c>
      <c r="G79" s="11">
        <v>60.01</v>
      </c>
      <c r="H79" s="8"/>
      <c r="K79" s="27" t="s">
        <v>20</v>
      </c>
    </row>
    <row r="80">
      <c r="A80" s="5">
        <v>46146.0</v>
      </c>
      <c r="C80" s="6" t="s">
        <v>11</v>
      </c>
      <c r="D80" s="6">
        <v>26.0</v>
      </c>
      <c r="E80" s="10">
        <f>56.951+180</f>
        <v>236.951</v>
      </c>
      <c r="F80" s="6">
        <v>1.0</v>
      </c>
      <c r="G80" s="11">
        <v>60.031</v>
      </c>
      <c r="H80" s="8"/>
      <c r="I80" s="6">
        <v>2195.3</v>
      </c>
    </row>
    <row r="81">
      <c r="A81" s="5">
        <v>46146.0</v>
      </c>
      <c r="C81" s="6" t="s">
        <v>11</v>
      </c>
      <c r="D81" s="6">
        <v>26.0</v>
      </c>
      <c r="F81" s="6">
        <v>2.0</v>
      </c>
      <c r="G81" s="11">
        <v>60.068</v>
      </c>
      <c r="H81" s="8"/>
      <c r="I81" s="6">
        <v>2198.9</v>
      </c>
    </row>
    <row r="82">
      <c r="A82" s="5">
        <v>46146.0</v>
      </c>
      <c r="F82" s="6">
        <v>3.0</v>
      </c>
      <c r="G82" s="11">
        <v>60.026</v>
      </c>
      <c r="H82" s="8"/>
      <c r="I82" s="6">
        <v>2194.7</v>
      </c>
      <c r="J82" s="10">
        <f>average(I80,I82)</f>
        <v>2195</v>
      </c>
    </row>
    <row r="83">
      <c r="A83" s="5">
        <v>46146.0</v>
      </c>
      <c r="B83" s="6">
        <v>3.0</v>
      </c>
      <c r="C83" s="6" t="s">
        <v>11</v>
      </c>
      <c r="D83" s="1">
        <v>27.0</v>
      </c>
      <c r="F83" s="6">
        <v>1.0</v>
      </c>
      <c r="G83" s="11">
        <v>60.03</v>
      </c>
      <c r="H83" s="8"/>
      <c r="I83" s="6">
        <v>2211.6</v>
      </c>
    </row>
    <row r="84">
      <c r="A84" s="5">
        <v>46146.0</v>
      </c>
      <c r="B84" s="6">
        <v>3.0</v>
      </c>
      <c r="C84" s="6" t="s">
        <v>11</v>
      </c>
      <c r="D84" s="1">
        <v>27.0</v>
      </c>
      <c r="F84" s="6">
        <v>2.0</v>
      </c>
      <c r="G84" s="11">
        <v>60.07</v>
      </c>
      <c r="H84" s="8"/>
      <c r="I84" s="6">
        <v>2197.5</v>
      </c>
    </row>
    <row r="85">
      <c r="A85" s="5">
        <v>46146.0</v>
      </c>
      <c r="D85" s="1"/>
      <c r="F85" s="6">
        <v>3.0</v>
      </c>
      <c r="G85" s="11">
        <v>60.02</v>
      </c>
      <c r="H85" s="8"/>
      <c r="I85" s="6">
        <v>2210.2</v>
      </c>
      <c r="J85" s="10">
        <f>average(I83,I85)</f>
        <v>2210.9</v>
      </c>
    </row>
    <row r="86">
      <c r="A86" s="5">
        <v>46146.0</v>
      </c>
      <c r="C86" s="6" t="s">
        <v>11</v>
      </c>
      <c r="D86" s="6">
        <v>29.0</v>
      </c>
      <c r="E86" s="10">
        <f>55.03+180</f>
        <v>235.03</v>
      </c>
      <c r="F86" s="6">
        <v>1.0</v>
      </c>
      <c r="G86" s="11">
        <v>60.024</v>
      </c>
      <c r="H86" s="8"/>
      <c r="I86" s="6">
        <v>2191.2</v>
      </c>
    </row>
    <row r="87">
      <c r="A87" s="5">
        <v>46146.0</v>
      </c>
      <c r="C87" s="6" t="s">
        <v>11</v>
      </c>
      <c r="D87" s="6">
        <v>29.0</v>
      </c>
      <c r="F87" s="6">
        <v>2.0</v>
      </c>
      <c r="G87" s="6">
        <v>60.05</v>
      </c>
      <c r="H87" s="8"/>
      <c r="I87" s="6">
        <v>2192.8</v>
      </c>
      <c r="J87" s="10">
        <f>average(I86:I87)</f>
        <v>2192</v>
      </c>
    </row>
    <row r="88">
      <c r="A88" s="5"/>
      <c r="G88" s="11"/>
      <c r="H88" s="8"/>
    </row>
    <row r="89">
      <c r="A89" s="5">
        <v>46146.0</v>
      </c>
      <c r="C89" s="6" t="s">
        <v>11</v>
      </c>
      <c r="D89" s="6">
        <v>30.0</v>
      </c>
      <c r="E89" s="10">
        <f>54.11+180</f>
        <v>234.11</v>
      </c>
      <c r="F89" s="6">
        <v>1.0</v>
      </c>
      <c r="G89" s="11">
        <v>60.075</v>
      </c>
      <c r="H89" s="8"/>
      <c r="I89" s="6">
        <v>2170.2</v>
      </c>
    </row>
    <row r="90">
      <c r="A90" s="5">
        <v>46146.0</v>
      </c>
      <c r="C90" s="6" t="s">
        <v>11</v>
      </c>
      <c r="D90" s="6">
        <v>30.0</v>
      </c>
      <c r="F90" s="6">
        <v>2.0</v>
      </c>
      <c r="G90" s="11">
        <v>60.067</v>
      </c>
      <c r="H90" s="8"/>
      <c r="I90" s="6">
        <v>2171.2</v>
      </c>
      <c r="J90" s="10">
        <f>average(I89:I90)</f>
        <v>2170.7</v>
      </c>
    </row>
    <row r="91">
      <c r="A91" s="5"/>
      <c r="G91" s="11"/>
      <c r="H91" s="8"/>
    </row>
    <row r="92">
      <c r="A92" s="5">
        <v>46146.0</v>
      </c>
      <c r="C92" s="6" t="s">
        <v>11</v>
      </c>
      <c r="D92" s="6">
        <v>31.0</v>
      </c>
      <c r="E92" s="10">
        <f>53.313+180</f>
        <v>233.313</v>
      </c>
      <c r="F92" s="6">
        <v>1.0</v>
      </c>
      <c r="G92" s="11">
        <v>60.051</v>
      </c>
      <c r="H92" s="8"/>
      <c r="I92" s="6">
        <v>2216.1</v>
      </c>
    </row>
    <row r="93">
      <c r="A93" s="5">
        <v>46146.0</v>
      </c>
      <c r="C93" s="6" t="s">
        <v>11</v>
      </c>
      <c r="D93" s="6">
        <v>31.0</v>
      </c>
      <c r="F93" s="6">
        <v>2.0</v>
      </c>
      <c r="G93" s="11">
        <v>60.039</v>
      </c>
      <c r="H93" s="8"/>
      <c r="I93" s="6">
        <v>2213.1</v>
      </c>
      <c r="J93" s="10">
        <f>average(I92:I93)</f>
        <v>2214.6</v>
      </c>
    </row>
    <row r="94">
      <c r="A94" s="5"/>
      <c r="G94" s="11"/>
      <c r="H94" s="8"/>
    </row>
    <row r="95">
      <c r="A95" s="5">
        <v>46146.0</v>
      </c>
      <c r="C95" s="6" t="s">
        <v>11</v>
      </c>
      <c r="D95" s="12">
        <v>32.0</v>
      </c>
      <c r="E95" s="10">
        <f>52.377+180</f>
        <v>232.377</v>
      </c>
      <c r="F95" s="6">
        <v>1.0</v>
      </c>
      <c r="G95" s="11">
        <v>60.095</v>
      </c>
      <c r="H95" s="8"/>
      <c r="I95" s="6">
        <v>2157.3</v>
      </c>
    </row>
    <row r="96">
      <c r="A96" s="5">
        <v>46146.0</v>
      </c>
      <c r="C96" s="6" t="s">
        <v>11</v>
      </c>
      <c r="D96" s="12">
        <v>32.0</v>
      </c>
      <c r="F96" s="6">
        <v>2.0</v>
      </c>
      <c r="G96" s="11">
        <v>60.037</v>
      </c>
      <c r="H96" s="8"/>
      <c r="I96" s="6">
        <v>2164.5</v>
      </c>
    </row>
    <row r="97">
      <c r="A97" s="5">
        <v>46146.0</v>
      </c>
      <c r="C97" s="6" t="s">
        <v>11</v>
      </c>
      <c r="D97" s="12">
        <v>32.0</v>
      </c>
      <c r="F97" s="6">
        <v>3.0</v>
      </c>
      <c r="G97" s="11">
        <v>60.012</v>
      </c>
      <c r="H97" s="8"/>
      <c r="I97" s="6">
        <v>2156.3</v>
      </c>
      <c r="J97" s="10">
        <f>average(I95,I97)</f>
        <v>2156.8</v>
      </c>
    </row>
    <row r="98">
      <c r="A98" s="5">
        <v>46146.0</v>
      </c>
      <c r="C98" s="6" t="s">
        <v>11</v>
      </c>
      <c r="D98" s="12">
        <v>33.0</v>
      </c>
      <c r="E98" s="10">
        <f>59.154+180</f>
        <v>239.154</v>
      </c>
      <c r="F98" s="6">
        <v>1.0</v>
      </c>
      <c r="G98" s="11">
        <v>60.011</v>
      </c>
      <c r="H98" s="8"/>
      <c r="I98" s="6">
        <v>2219.7</v>
      </c>
    </row>
    <row r="99">
      <c r="A99" s="5">
        <v>46146.0</v>
      </c>
      <c r="C99" s="6" t="s">
        <v>11</v>
      </c>
      <c r="D99" s="12">
        <v>33.0</v>
      </c>
      <c r="F99" s="6">
        <v>2.0</v>
      </c>
      <c r="G99" s="11">
        <v>60.022</v>
      </c>
      <c r="H99" s="8"/>
      <c r="I99" s="6">
        <v>2215.4</v>
      </c>
    </row>
    <row r="100">
      <c r="A100" s="5">
        <v>46146.0</v>
      </c>
      <c r="C100" s="6" t="s">
        <v>11</v>
      </c>
      <c r="D100" s="12">
        <v>33.0</v>
      </c>
      <c r="F100" s="6">
        <v>3.0</v>
      </c>
      <c r="G100" s="11">
        <v>60.083</v>
      </c>
      <c r="H100" s="8"/>
      <c r="I100" s="6">
        <v>2215.7</v>
      </c>
      <c r="J100" s="10">
        <f>average(I99:I100)</f>
        <v>2215.55</v>
      </c>
    </row>
    <row r="101">
      <c r="A101" s="5">
        <v>46146.0</v>
      </c>
      <c r="C101" s="6" t="s">
        <v>11</v>
      </c>
      <c r="D101" s="12">
        <v>34.0</v>
      </c>
      <c r="E101" s="10">
        <f>49.267+180</f>
        <v>229.267</v>
      </c>
      <c r="F101" s="6">
        <v>1.0</v>
      </c>
      <c r="G101" s="11">
        <v>60.008</v>
      </c>
      <c r="H101" s="8"/>
      <c r="I101" s="6">
        <v>2187.3</v>
      </c>
    </row>
    <row r="102">
      <c r="A102" s="5">
        <v>46146.0</v>
      </c>
      <c r="C102" s="6" t="s">
        <v>11</v>
      </c>
      <c r="D102" s="12">
        <v>34.0</v>
      </c>
      <c r="F102" s="6">
        <v>2.0</v>
      </c>
      <c r="H102" s="8"/>
    </row>
    <row r="103">
      <c r="A103" s="5">
        <v>46146.0</v>
      </c>
      <c r="D103" s="12"/>
      <c r="F103" s="6">
        <v>3.0</v>
      </c>
      <c r="G103" s="11">
        <v>60.029</v>
      </c>
      <c r="H103" s="8"/>
      <c r="I103" s="6">
        <v>2189.3</v>
      </c>
      <c r="J103" s="10">
        <f>average(I101,I103)</f>
        <v>2188.3</v>
      </c>
    </row>
    <row r="104">
      <c r="A104" s="5">
        <v>46146.0</v>
      </c>
      <c r="C104" s="6" t="s">
        <v>11</v>
      </c>
      <c r="D104" s="12">
        <v>35.0</v>
      </c>
      <c r="E104" s="10">
        <f>56.555+180</f>
        <v>236.555</v>
      </c>
      <c r="F104" s="6">
        <v>1.0</v>
      </c>
      <c r="G104" s="11">
        <v>60.022</v>
      </c>
      <c r="H104" s="8"/>
      <c r="I104" s="6">
        <v>2213.7</v>
      </c>
    </row>
    <row r="105">
      <c r="A105" s="5">
        <v>46146.0</v>
      </c>
      <c r="C105" s="6" t="s">
        <v>11</v>
      </c>
      <c r="D105" s="12">
        <v>35.0</v>
      </c>
      <c r="F105" s="6">
        <v>2.0</v>
      </c>
      <c r="G105" s="11">
        <v>60.017</v>
      </c>
      <c r="H105" s="8"/>
      <c r="I105" s="6">
        <v>2213.6</v>
      </c>
      <c r="J105" s="10">
        <f>average(I104:I105)</f>
        <v>2213.65</v>
      </c>
    </row>
    <row r="106">
      <c r="A106" s="5"/>
      <c r="D106" s="12"/>
      <c r="G106" s="11"/>
      <c r="H106" s="8"/>
    </row>
    <row r="107">
      <c r="A107" s="5">
        <v>46146.0</v>
      </c>
      <c r="C107" s="6" t="s">
        <v>11</v>
      </c>
      <c r="D107" s="12">
        <v>36.0</v>
      </c>
      <c r="E107" s="10">
        <f>44.488+180</f>
        <v>224.488</v>
      </c>
      <c r="F107" s="6">
        <v>1.0</v>
      </c>
      <c r="G107" s="11">
        <v>60.008</v>
      </c>
      <c r="H107" s="8"/>
      <c r="I107" s="6">
        <v>2167.2</v>
      </c>
    </row>
    <row r="108">
      <c r="A108" s="5">
        <v>46146.0</v>
      </c>
      <c r="C108" s="6" t="s">
        <v>11</v>
      </c>
      <c r="D108" s="12">
        <v>36.0</v>
      </c>
      <c r="F108" s="6">
        <v>2.0</v>
      </c>
      <c r="G108" s="11">
        <v>60.069</v>
      </c>
      <c r="H108" s="8"/>
      <c r="I108" s="6">
        <v>2174.4</v>
      </c>
    </row>
    <row r="109">
      <c r="A109" s="5">
        <v>46146.0</v>
      </c>
      <c r="C109" s="6" t="s">
        <v>11</v>
      </c>
      <c r="D109" s="12">
        <v>36.0</v>
      </c>
      <c r="F109" s="6">
        <v>3.0</v>
      </c>
      <c r="G109" s="11">
        <v>60.083</v>
      </c>
      <c r="H109" s="8"/>
      <c r="I109" s="6">
        <v>2164.5</v>
      </c>
      <c r="J109" s="10">
        <f>average(I107,I109)</f>
        <v>2165.85</v>
      </c>
    </row>
    <row r="110">
      <c r="A110" s="5">
        <v>46146.0</v>
      </c>
      <c r="C110" s="6" t="s">
        <v>11</v>
      </c>
      <c r="D110" s="12">
        <v>37.0</v>
      </c>
      <c r="E110" s="10">
        <f>52.667+180</f>
        <v>232.667</v>
      </c>
      <c r="F110" s="6">
        <v>1.0</v>
      </c>
      <c r="G110" s="11">
        <v>60.012</v>
      </c>
      <c r="H110" s="8"/>
      <c r="I110" s="6">
        <v>2154.4</v>
      </c>
    </row>
    <row r="111">
      <c r="A111" s="5">
        <v>46146.0</v>
      </c>
      <c r="C111" s="6" t="s">
        <v>11</v>
      </c>
      <c r="D111" s="12">
        <v>37.0</v>
      </c>
      <c r="F111" s="6">
        <v>2.0</v>
      </c>
      <c r="G111" s="11">
        <v>60.015</v>
      </c>
      <c r="H111" s="8"/>
      <c r="I111" s="6">
        <v>2149.7</v>
      </c>
    </row>
    <row r="112">
      <c r="A112" s="5">
        <v>46146.0</v>
      </c>
      <c r="D112" s="12"/>
      <c r="F112" s="6">
        <v>3.0</v>
      </c>
      <c r="G112" s="11">
        <v>60.063</v>
      </c>
      <c r="H112" s="8"/>
      <c r="I112" s="6">
        <v>2156.3</v>
      </c>
      <c r="J112" s="10">
        <f>average(I110,I112)</f>
        <v>2155.35</v>
      </c>
    </row>
    <row r="113">
      <c r="A113" s="5">
        <v>46146.0</v>
      </c>
      <c r="C113" s="6" t="s">
        <v>11</v>
      </c>
      <c r="D113" s="12">
        <v>38.0</v>
      </c>
      <c r="E113" s="10">
        <f>48.491+180</f>
        <v>228.491</v>
      </c>
      <c r="F113" s="6">
        <v>1.0</v>
      </c>
      <c r="G113" s="11">
        <v>60.049</v>
      </c>
      <c r="H113" s="8"/>
      <c r="K113" s="6" t="s">
        <v>15</v>
      </c>
    </row>
    <row r="114">
      <c r="A114" s="5">
        <v>46146.0</v>
      </c>
      <c r="C114" s="6" t="s">
        <v>11</v>
      </c>
      <c r="D114" s="12">
        <v>38.0</v>
      </c>
      <c r="F114" s="6">
        <v>2.0</v>
      </c>
      <c r="G114" s="11">
        <v>60.037</v>
      </c>
      <c r="H114" s="8"/>
      <c r="I114" s="6">
        <v>2180.6</v>
      </c>
    </row>
    <row r="115">
      <c r="A115" s="5">
        <v>46146.0</v>
      </c>
      <c r="D115" s="12"/>
      <c r="F115" s="6">
        <v>3.0</v>
      </c>
      <c r="G115" s="11">
        <v>60.019</v>
      </c>
      <c r="H115" s="8"/>
      <c r="I115" s="6">
        <v>2175.9</v>
      </c>
      <c r="J115" s="10">
        <f>average(I114:I115)</f>
        <v>2178.25</v>
      </c>
    </row>
    <row r="116">
      <c r="A116" s="5">
        <v>46146.0</v>
      </c>
      <c r="C116" s="6" t="s">
        <v>11</v>
      </c>
      <c r="D116" s="12">
        <v>39.0</v>
      </c>
      <c r="E116" s="10">
        <f>45.88+180</f>
        <v>225.88</v>
      </c>
      <c r="F116" s="6">
        <v>1.0</v>
      </c>
      <c r="G116" s="11">
        <v>60.033</v>
      </c>
      <c r="H116" s="8"/>
      <c r="I116" s="6">
        <v>2183.6</v>
      </c>
    </row>
    <row r="117">
      <c r="A117" s="5">
        <v>46146.0</v>
      </c>
      <c r="C117" s="6" t="s">
        <v>11</v>
      </c>
      <c r="D117" s="12">
        <v>39.0</v>
      </c>
      <c r="F117" s="6">
        <v>2.0</v>
      </c>
      <c r="G117" s="11">
        <v>60.055</v>
      </c>
      <c r="H117" s="8"/>
      <c r="I117" s="6">
        <v>2186.5</v>
      </c>
      <c r="J117" s="10">
        <f>average(I116:I117)</f>
        <v>2185.05</v>
      </c>
    </row>
    <row r="118">
      <c r="A118" s="5"/>
      <c r="D118" s="12"/>
      <c r="G118" s="11"/>
      <c r="H118" s="8"/>
    </row>
    <row r="119">
      <c r="A119" s="5">
        <v>46146.0</v>
      </c>
      <c r="C119" s="6" t="s">
        <v>11</v>
      </c>
      <c r="D119" s="12">
        <v>40.0</v>
      </c>
      <c r="E119" s="10">
        <f>50.587+180</f>
        <v>230.587</v>
      </c>
      <c r="F119" s="6">
        <v>1.0</v>
      </c>
      <c r="G119" s="11">
        <v>60.02</v>
      </c>
      <c r="H119" s="8"/>
      <c r="I119" s="6">
        <v>2170.2</v>
      </c>
    </row>
    <row r="120">
      <c r="A120" s="5">
        <v>46146.0</v>
      </c>
      <c r="C120" s="6" t="s">
        <v>11</v>
      </c>
      <c r="D120" s="12">
        <v>40.0</v>
      </c>
      <c r="F120" s="6">
        <v>2.0</v>
      </c>
      <c r="G120" s="11">
        <v>60.033</v>
      </c>
      <c r="H120" s="8"/>
      <c r="I120" s="6">
        <v>2169.4</v>
      </c>
      <c r="J120" s="10">
        <f>average(I119:I120)</f>
        <v>2169.8</v>
      </c>
    </row>
    <row r="121">
      <c r="A121" s="5"/>
      <c r="D121" s="12"/>
      <c r="G121" s="11"/>
      <c r="H121" s="8"/>
    </row>
    <row r="122">
      <c r="A122" s="5">
        <v>46146.0</v>
      </c>
      <c r="B122" s="6">
        <v>4.0</v>
      </c>
      <c r="C122" s="6" t="s">
        <v>11</v>
      </c>
      <c r="D122" s="14">
        <v>41.0</v>
      </c>
      <c r="F122" s="6">
        <v>1.0</v>
      </c>
      <c r="G122" s="11">
        <v>60.074</v>
      </c>
      <c r="H122" s="8"/>
      <c r="I122" s="6">
        <v>2219.2</v>
      </c>
    </row>
    <row r="123">
      <c r="A123" s="5">
        <v>46146.0</v>
      </c>
      <c r="B123" s="6">
        <v>4.0</v>
      </c>
      <c r="C123" s="6" t="s">
        <v>11</v>
      </c>
      <c r="D123" s="14">
        <v>41.0</v>
      </c>
      <c r="F123" s="6">
        <v>2.0</v>
      </c>
      <c r="G123" s="11">
        <v>60.003</v>
      </c>
      <c r="H123" s="8"/>
      <c r="I123" s="6">
        <v>2217.2</v>
      </c>
      <c r="J123" s="10">
        <f>average(I122:I123)</f>
        <v>2218.2</v>
      </c>
    </row>
    <row r="124">
      <c r="A124" s="5"/>
      <c r="D124" s="14"/>
      <c r="G124" s="11"/>
      <c r="H124" s="8"/>
    </row>
    <row r="125">
      <c r="A125" s="5">
        <v>46146.0</v>
      </c>
      <c r="C125" s="6" t="s">
        <v>11</v>
      </c>
      <c r="D125" s="12">
        <v>42.0</v>
      </c>
      <c r="E125" s="10">
        <f>53.081+180</f>
        <v>233.081</v>
      </c>
      <c r="F125" s="6">
        <v>1.0</v>
      </c>
      <c r="G125" s="11">
        <v>60.038</v>
      </c>
      <c r="H125" s="8"/>
      <c r="I125" s="6">
        <v>2202.4</v>
      </c>
    </row>
    <row r="126">
      <c r="A126" s="5">
        <v>46146.0</v>
      </c>
      <c r="C126" s="6" t="s">
        <v>11</v>
      </c>
      <c r="D126" s="12">
        <v>42.0</v>
      </c>
      <c r="F126" s="6">
        <v>2.0</v>
      </c>
      <c r="G126" s="11">
        <v>60.025</v>
      </c>
      <c r="H126" s="8"/>
      <c r="I126" s="6">
        <v>2202.7</v>
      </c>
      <c r="J126" s="10">
        <f>average(I125:I126)</f>
        <v>2202.55</v>
      </c>
    </row>
    <row r="127">
      <c r="A127" s="5"/>
      <c r="D127" s="12"/>
      <c r="G127" s="11"/>
      <c r="H127" s="8"/>
    </row>
    <row r="128">
      <c r="A128" s="5">
        <v>46146.0</v>
      </c>
      <c r="C128" s="6" t="s">
        <v>11</v>
      </c>
      <c r="D128" s="12">
        <v>43.0</v>
      </c>
      <c r="E128" s="10">
        <f>53.401+180</f>
        <v>233.401</v>
      </c>
      <c r="F128" s="6">
        <v>1.0</v>
      </c>
      <c r="G128" s="11">
        <v>60.045</v>
      </c>
      <c r="H128" s="8"/>
      <c r="I128" s="6">
        <v>2169.8</v>
      </c>
    </row>
    <row r="129">
      <c r="A129" s="5">
        <v>46146.0</v>
      </c>
      <c r="C129" s="6" t="s">
        <v>11</v>
      </c>
      <c r="D129" s="12">
        <v>43.0</v>
      </c>
      <c r="F129" s="6">
        <v>2.0</v>
      </c>
      <c r="G129" s="11">
        <v>60.053</v>
      </c>
      <c r="H129" s="8"/>
      <c r="I129" s="6">
        <v>2168.2</v>
      </c>
      <c r="J129" s="10">
        <f>average(I128:I129)</f>
        <v>2169</v>
      </c>
    </row>
    <row r="130">
      <c r="A130" s="5"/>
      <c r="D130" s="15"/>
      <c r="G130" s="11"/>
      <c r="H130" s="8"/>
    </row>
    <row r="131">
      <c r="A131" s="5">
        <v>46146.0</v>
      </c>
      <c r="C131" s="6" t="s">
        <v>11</v>
      </c>
      <c r="D131" s="6">
        <v>44.0</v>
      </c>
      <c r="E131" s="10">
        <f>50.58+180</f>
        <v>230.58</v>
      </c>
      <c r="F131" s="6">
        <v>1.0</v>
      </c>
      <c r="G131" s="11">
        <v>60.017</v>
      </c>
      <c r="H131" s="8"/>
      <c r="I131" s="6">
        <v>2216.9</v>
      </c>
    </row>
    <row r="132">
      <c r="A132" s="5">
        <v>46146.0</v>
      </c>
      <c r="C132" s="6" t="s">
        <v>11</v>
      </c>
      <c r="D132" s="6">
        <v>44.0</v>
      </c>
      <c r="F132" s="6">
        <v>2.0</v>
      </c>
      <c r="G132" s="11">
        <v>60.043</v>
      </c>
      <c r="H132" s="8"/>
      <c r="I132" s="6">
        <v>2218.7</v>
      </c>
      <c r="J132" s="10">
        <f>average(I131:I132)</f>
        <v>2217.8</v>
      </c>
    </row>
    <row r="133">
      <c r="A133" s="5"/>
      <c r="G133" s="11"/>
      <c r="H133" s="8"/>
    </row>
    <row r="134">
      <c r="A134" s="5">
        <v>46146.0</v>
      </c>
      <c r="C134" s="6" t="s">
        <v>11</v>
      </c>
      <c r="D134" s="6">
        <v>45.0</v>
      </c>
      <c r="E134" s="10">
        <f>54.707+180</f>
        <v>234.707</v>
      </c>
      <c r="F134" s="6">
        <v>1.0</v>
      </c>
      <c r="G134" s="11">
        <v>60.009</v>
      </c>
      <c r="H134" s="8"/>
    </row>
    <row r="135">
      <c r="A135" s="5">
        <v>46146.0</v>
      </c>
      <c r="C135" s="6" t="s">
        <v>11</v>
      </c>
      <c r="D135" s="6">
        <v>45.0</v>
      </c>
      <c r="F135" s="6">
        <v>2.0</v>
      </c>
      <c r="G135" s="11">
        <v>60.03</v>
      </c>
      <c r="H135" s="8"/>
      <c r="I135" s="6">
        <v>2204.1</v>
      </c>
      <c r="K135" s="6"/>
    </row>
    <row r="136">
      <c r="A136" s="5">
        <v>46146.0</v>
      </c>
      <c r="F136" s="6">
        <v>3.0</v>
      </c>
      <c r="G136" s="11">
        <v>60.047</v>
      </c>
      <c r="H136" s="8"/>
      <c r="I136" s="6">
        <v>2202.6</v>
      </c>
      <c r="J136" s="10">
        <f>average(I135:I136)</f>
        <v>2203.35</v>
      </c>
    </row>
    <row r="137">
      <c r="A137" s="5">
        <v>46146.0</v>
      </c>
      <c r="C137" s="6" t="s">
        <v>11</v>
      </c>
      <c r="D137" s="6">
        <v>46.0</v>
      </c>
      <c r="E137" s="10">
        <f>58.078+180</f>
        <v>238.078</v>
      </c>
      <c r="F137" s="6">
        <v>1.0</v>
      </c>
      <c r="G137" s="11">
        <v>60.008</v>
      </c>
      <c r="H137" s="8"/>
      <c r="I137" s="6">
        <v>2184.5</v>
      </c>
    </row>
    <row r="138">
      <c r="A138" s="5">
        <v>46146.0</v>
      </c>
      <c r="C138" s="6" t="s">
        <v>11</v>
      </c>
      <c r="D138" s="6">
        <v>46.0</v>
      </c>
      <c r="F138" s="6">
        <v>2.0</v>
      </c>
      <c r="G138" s="11">
        <v>60.047</v>
      </c>
      <c r="H138" s="8"/>
      <c r="I138" s="6">
        <v>2186.6</v>
      </c>
      <c r="J138" s="10">
        <f>average(I137:I138)</f>
        <v>2185.55</v>
      </c>
    </row>
    <row r="139">
      <c r="A139" s="5"/>
      <c r="D139" s="15"/>
      <c r="G139" s="11"/>
      <c r="H139" s="8"/>
    </row>
    <row r="140">
      <c r="A140" s="5">
        <v>46146.0</v>
      </c>
      <c r="C140" s="6" t="s">
        <v>11</v>
      </c>
      <c r="D140" s="6">
        <v>47.0</v>
      </c>
      <c r="E140" s="10">
        <f>52.388+180</f>
        <v>232.388</v>
      </c>
      <c r="F140" s="6">
        <v>1.0</v>
      </c>
      <c r="G140" s="11">
        <v>60.048</v>
      </c>
      <c r="H140" s="8"/>
      <c r="I140" s="6">
        <v>2179.5</v>
      </c>
    </row>
    <row r="141">
      <c r="A141" s="5">
        <v>46146.0</v>
      </c>
      <c r="C141" s="6" t="s">
        <v>11</v>
      </c>
      <c r="D141" s="6">
        <v>47.0</v>
      </c>
      <c r="F141" s="6">
        <v>2.0</v>
      </c>
      <c r="G141" s="11">
        <v>60.053</v>
      </c>
      <c r="H141" s="8"/>
      <c r="I141" s="6">
        <v>2176.4</v>
      </c>
      <c r="J141" s="10">
        <f>average(I140:I141)</f>
        <v>2177.95</v>
      </c>
    </row>
    <row r="142">
      <c r="A142" s="5">
        <v>46146.0</v>
      </c>
      <c r="F142" s="6">
        <v>3.0</v>
      </c>
      <c r="H142" s="8"/>
      <c r="K142" s="6" t="s">
        <v>15</v>
      </c>
    </row>
    <row r="143">
      <c r="A143" s="5">
        <v>46146.0</v>
      </c>
      <c r="C143" s="6" t="s">
        <v>11</v>
      </c>
      <c r="D143" s="6">
        <v>49.0</v>
      </c>
      <c r="E143" s="10">
        <f>56.845+180</f>
        <v>236.845</v>
      </c>
      <c r="F143" s="6">
        <v>1.0</v>
      </c>
      <c r="G143" s="11">
        <v>60.066</v>
      </c>
      <c r="H143" s="8"/>
      <c r="I143" s="6">
        <v>2204.0</v>
      </c>
    </row>
    <row r="144">
      <c r="A144" s="5">
        <v>46146.0</v>
      </c>
      <c r="C144" s="6" t="s">
        <v>11</v>
      </c>
      <c r="D144" s="6">
        <v>49.0</v>
      </c>
      <c r="F144" s="6">
        <v>2.0</v>
      </c>
      <c r="G144" s="11">
        <v>60.056</v>
      </c>
      <c r="H144" s="8"/>
      <c r="I144" s="6">
        <v>2199.5</v>
      </c>
    </row>
    <row r="145">
      <c r="A145" s="5">
        <v>46146.0</v>
      </c>
      <c r="C145" s="6" t="s">
        <v>11</v>
      </c>
      <c r="D145" s="6">
        <v>49.0</v>
      </c>
      <c r="F145" s="6">
        <v>3.0</v>
      </c>
      <c r="G145" s="11">
        <v>60.076</v>
      </c>
      <c r="H145" s="8"/>
      <c r="I145" s="6">
        <v>2202.0</v>
      </c>
      <c r="J145" s="10">
        <f>average(I143,I145)</f>
        <v>2203</v>
      </c>
    </row>
    <row r="146">
      <c r="A146" s="5">
        <v>46146.0</v>
      </c>
      <c r="C146" s="6" t="s">
        <v>11</v>
      </c>
      <c r="D146" s="6">
        <v>50.0</v>
      </c>
      <c r="E146" s="10">
        <f>46.411+180</f>
        <v>226.411</v>
      </c>
      <c r="F146" s="6">
        <v>1.0</v>
      </c>
      <c r="G146" s="11">
        <v>60.086</v>
      </c>
      <c r="H146" s="8"/>
      <c r="I146" s="6">
        <v>2178.5</v>
      </c>
    </row>
    <row r="147">
      <c r="A147" s="5">
        <v>46146.0</v>
      </c>
      <c r="C147" s="6" t="s">
        <v>11</v>
      </c>
      <c r="D147" s="6">
        <v>50.0</v>
      </c>
      <c r="F147" s="6">
        <v>2.0</v>
      </c>
      <c r="G147" s="11">
        <v>60.109</v>
      </c>
      <c r="H147" s="8"/>
      <c r="I147" s="6">
        <v>2176.1</v>
      </c>
      <c r="J147" s="10">
        <f>average(I146:I147)</f>
        <v>2177.3</v>
      </c>
    </row>
    <row r="148">
      <c r="A148" s="5"/>
      <c r="G148" s="11"/>
      <c r="H148" s="8"/>
    </row>
    <row r="149">
      <c r="A149" s="5">
        <v>46146.0</v>
      </c>
      <c r="C149" s="6" t="s">
        <v>11</v>
      </c>
      <c r="D149" s="6">
        <v>51.0</v>
      </c>
      <c r="E149" s="10">
        <f>61.153+180</f>
        <v>241.153</v>
      </c>
      <c r="F149" s="6">
        <v>1.0</v>
      </c>
      <c r="G149" s="11">
        <v>60.02</v>
      </c>
      <c r="H149" s="8"/>
      <c r="I149" s="6">
        <v>2247.8</v>
      </c>
    </row>
    <row r="150">
      <c r="A150" s="5">
        <v>46146.0</v>
      </c>
      <c r="C150" s="6" t="s">
        <v>11</v>
      </c>
      <c r="D150" s="6">
        <v>51.0</v>
      </c>
      <c r="F150" s="6">
        <v>2.0</v>
      </c>
      <c r="G150" s="11">
        <v>60.012</v>
      </c>
      <c r="I150" s="6">
        <v>2228.5</v>
      </c>
    </row>
    <row r="151">
      <c r="A151" s="5">
        <v>46146.0</v>
      </c>
      <c r="F151" s="6">
        <v>3.0</v>
      </c>
      <c r="G151" s="11">
        <v>60.007</v>
      </c>
      <c r="I151" s="6">
        <v>2228.1</v>
      </c>
      <c r="J151" s="10">
        <f>average(I150:I151)</f>
        <v>2228.3</v>
      </c>
    </row>
    <row r="152">
      <c r="A152" s="5"/>
      <c r="G152" s="11"/>
    </row>
    <row r="153">
      <c r="A153" s="5"/>
      <c r="G153" s="11"/>
      <c r="H153" s="8"/>
    </row>
    <row r="154">
      <c r="A154" s="5"/>
      <c r="G154" s="11"/>
      <c r="H154" s="8"/>
    </row>
    <row r="155">
      <c r="A155" s="5"/>
      <c r="G155" s="11"/>
      <c r="H155" s="8"/>
    </row>
    <row r="156">
      <c r="A156" s="5"/>
      <c r="G156" s="11"/>
      <c r="H156" s="8"/>
    </row>
    <row r="157">
      <c r="A157" s="5"/>
      <c r="G157" s="11"/>
      <c r="H157" s="8"/>
    </row>
    <row r="158">
      <c r="A158" s="5"/>
      <c r="G158" s="11"/>
      <c r="H158" s="8"/>
    </row>
    <row r="159">
      <c r="A159" s="5"/>
      <c r="G159" s="11"/>
      <c r="H159" s="8"/>
    </row>
    <row r="160">
      <c r="A160" s="5"/>
      <c r="G160" s="11"/>
      <c r="H160" s="8"/>
    </row>
    <row r="161">
      <c r="A161" s="5"/>
      <c r="G161" s="11"/>
      <c r="H161" s="8"/>
    </row>
    <row r="162">
      <c r="A162" s="5"/>
      <c r="G162" s="28"/>
    </row>
    <row r="163">
      <c r="A163" s="5"/>
      <c r="G163" s="29"/>
    </row>
    <row r="164">
      <c r="A164" s="5"/>
      <c r="G164" s="29"/>
    </row>
    <row r="165">
      <c r="A165" s="5"/>
      <c r="G165" s="29"/>
    </row>
    <row r="166">
      <c r="A166" s="5"/>
      <c r="G166" s="29"/>
    </row>
    <row r="167">
      <c r="A167" s="5"/>
      <c r="G167" s="29"/>
    </row>
    <row r="168">
      <c r="A168" s="5"/>
      <c r="G168" s="29"/>
    </row>
    <row r="169">
      <c r="A169" s="5"/>
      <c r="G169" s="29"/>
    </row>
    <row r="170">
      <c r="A170" s="5"/>
      <c r="G170" s="29"/>
    </row>
    <row r="171">
      <c r="A171" s="5"/>
      <c r="G171" s="29"/>
    </row>
    <row r="172">
      <c r="G172" s="29"/>
    </row>
    <row r="173">
      <c r="G173" s="29"/>
    </row>
    <row r="174">
      <c r="G174" s="29"/>
    </row>
    <row r="175">
      <c r="G175" s="29"/>
    </row>
    <row r="176">
      <c r="G176" s="29"/>
    </row>
    <row r="177">
      <c r="G177" s="29"/>
    </row>
    <row r="178">
      <c r="G178" s="29"/>
    </row>
    <row r="179">
      <c r="G179" s="29"/>
    </row>
    <row r="180">
      <c r="G180" s="29"/>
    </row>
    <row r="181">
      <c r="G181" s="29"/>
    </row>
    <row r="182">
      <c r="G182" s="29"/>
    </row>
    <row r="183">
      <c r="G183" s="29"/>
    </row>
    <row r="184">
      <c r="G184" s="29"/>
    </row>
    <row r="185">
      <c r="G185" s="29"/>
    </row>
    <row r="186">
      <c r="G186" s="29"/>
    </row>
    <row r="187">
      <c r="G187" s="29"/>
    </row>
    <row r="188">
      <c r="G188" s="29"/>
    </row>
    <row r="189">
      <c r="G189" s="29"/>
    </row>
    <row r="190">
      <c r="G190" s="29"/>
    </row>
    <row r="191">
      <c r="G191" s="29"/>
    </row>
    <row r="192">
      <c r="G192" s="29"/>
    </row>
    <row r="193">
      <c r="G193" s="29"/>
    </row>
    <row r="194">
      <c r="G194" s="29"/>
    </row>
    <row r="195">
      <c r="G195" s="29"/>
    </row>
    <row r="196">
      <c r="G196" s="29"/>
    </row>
    <row r="197">
      <c r="G197" s="29"/>
    </row>
    <row r="198">
      <c r="G198" s="29"/>
    </row>
    <row r="199">
      <c r="G199" s="29"/>
    </row>
    <row r="200">
      <c r="G200" s="29"/>
    </row>
    <row r="201">
      <c r="G201" s="29"/>
    </row>
    <row r="202">
      <c r="G202" s="29"/>
    </row>
    <row r="203">
      <c r="G203" s="29"/>
    </row>
    <row r="204">
      <c r="G204" s="29"/>
    </row>
    <row r="205">
      <c r="G205" s="29"/>
    </row>
    <row r="206">
      <c r="G206" s="29"/>
    </row>
    <row r="207">
      <c r="G207" s="29"/>
    </row>
    <row r="208">
      <c r="G208" s="29"/>
    </row>
    <row r="209">
      <c r="G209" s="29"/>
    </row>
    <row r="210">
      <c r="G210" s="29"/>
    </row>
    <row r="211">
      <c r="G211" s="29"/>
    </row>
    <row r="212">
      <c r="G212" s="29"/>
    </row>
    <row r="213">
      <c r="G213" s="29"/>
    </row>
    <row r="214">
      <c r="G214" s="29"/>
    </row>
    <row r="215">
      <c r="G215" s="29"/>
    </row>
    <row r="216">
      <c r="G216" s="29"/>
    </row>
    <row r="217">
      <c r="G217" s="29"/>
    </row>
    <row r="218">
      <c r="G218" s="29"/>
    </row>
    <row r="219">
      <c r="G219" s="29"/>
    </row>
    <row r="220">
      <c r="G220" s="29"/>
    </row>
    <row r="221">
      <c r="G221" s="29"/>
    </row>
    <row r="222">
      <c r="G222" s="29"/>
    </row>
    <row r="223">
      <c r="G223" s="29"/>
    </row>
    <row r="224">
      <c r="G224" s="29"/>
    </row>
    <row r="225">
      <c r="G225" s="29"/>
    </row>
    <row r="226">
      <c r="G226" s="29"/>
    </row>
    <row r="227">
      <c r="G227" s="29"/>
    </row>
    <row r="228">
      <c r="G228" s="29"/>
    </row>
    <row r="229">
      <c r="G229" s="29"/>
    </row>
    <row r="230">
      <c r="G230" s="29"/>
    </row>
    <row r="231">
      <c r="G231" s="29"/>
    </row>
    <row r="232">
      <c r="G232" s="29"/>
    </row>
    <row r="233">
      <c r="G233" s="29"/>
    </row>
    <row r="234">
      <c r="G234" s="29"/>
    </row>
    <row r="235">
      <c r="G235" s="29"/>
    </row>
    <row r="236">
      <c r="G236" s="29"/>
    </row>
    <row r="237">
      <c r="G237" s="29"/>
    </row>
    <row r="238">
      <c r="G238" s="29"/>
    </row>
    <row r="239">
      <c r="G239" s="29"/>
    </row>
    <row r="240">
      <c r="G240" s="29"/>
    </row>
    <row r="241">
      <c r="G241" s="29"/>
    </row>
    <row r="242">
      <c r="G242" s="29"/>
    </row>
    <row r="243">
      <c r="G243" s="29"/>
    </row>
    <row r="244">
      <c r="G244" s="29"/>
    </row>
    <row r="245">
      <c r="G245" s="29"/>
    </row>
    <row r="246">
      <c r="G246" s="29"/>
    </row>
    <row r="247">
      <c r="G247" s="29"/>
    </row>
    <row r="248">
      <c r="G248" s="29"/>
    </row>
    <row r="249">
      <c r="G249" s="29"/>
    </row>
    <row r="250">
      <c r="G250" s="29"/>
    </row>
    <row r="251">
      <c r="G251" s="29"/>
    </row>
    <row r="252">
      <c r="G252" s="29"/>
    </row>
    <row r="253">
      <c r="G253" s="29"/>
    </row>
    <row r="254">
      <c r="G254" s="29"/>
    </row>
    <row r="255">
      <c r="G255" s="29"/>
    </row>
    <row r="256">
      <c r="G256" s="29"/>
    </row>
    <row r="257">
      <c r="G257" s="29"/>
    </row>
    <row r="258">
      <c r="G258" s="29"/>
    </row>
    <row r="259">
      <c r="G259" s="29"/>
    </row>
    <row r="260">
      <c r="G260" s="29"/>
    </row>
    <row r="261">
      <c r="G261" s="29"/>
    </row>
    <row r="262">
      <c r="G262" s="29"/>
    </row>
    <row r="263">
      <c r="G263" s="29"/>
    </row>
    <row r="264">
      <c r="G264" s="29"/>
    </row>
    <row r="265">
      <c r="G265" s="29"/>
    </row>
    <row r="266">
      <c r="G266" s="29"/>
    </row>
    <row r="267">
      <c r="G267" s="29"/>
    </row>
    <row r="268">
      <c r="G268" s="29"/>
    </row>
    <row r="269">
      <c r="G269" s="29"/>
    </row>
    <row r="270">
      <c r="G270" s="29"/>
    </row>
    <row r="271">
      <c r="G271" s="29"/>
    </row>
    <row r="272">
      <c r="G272" s="29"/>
    </row>
    <row r="273">
      <c r="G273" s="29"/>
    </row>
    <row r="274">
      <c r="G274" s="29"/>
    </row>
    <row r="275">
      <c r="G275" s="29"/>
    </row>
    <row r="276">
      <c r="G276" s="29"/>
    </row>
    <row r="277">
      <c r="G277" s="29"/>
    </row>
    <row r="278">
      <c r="G278" s="29"/>
    </row>
    <row r="279">
      <c r="G279" s="29"/>
    </row>
    <row r="280">
      <c r="G280" s="29"/>
    </row>
    <row r="281">
      <c r="G281" s="29"/>
    </row>
    <row r="282">
      <c r="G282" s="29"/>
    </row>
    <row r="283">
      <c r="G283" s="29"/>
    </row>
    <row r="284">
      <c r="G284" s="29"/>
    </row>
    <row r="285">
      <c r="G285" s="29"/>
    </row>
    <row r="286">
      <c r="G286" s="29"/>
    </row>
    <row r="287">
      <c r="G287" s="29"/>
    </row>
    <row r="288">
      <c r="G288" s="29"/>
    </row>
    <row r="289">
      <c r="G289" s="29"/>
    </row>
    <row r="290">
      <c r="G290" s="29"/>
    </row>
    <row r="291">
      <c r="G291" s="29"/>
    </row>
    <row r="292">
      <c r="G292" s="29"/>
    </row>
    <row r="293">
      <c r="G293" s="29"/>
    </row>
    <row r="294">
      <c r="G294" s="29"/>
    </row>
    <row r="295">
      <c r="G295" s="29"/>
    </row>
    <row r="296">
      <c r="G296" s="29"/>
    </row>
    <row r="297">
      <c r="G297" s="29"/>
    </row>
    <row r="298">
      <c r="G298" s="29"/>
    </row>
    <row r="299">
      <c r="G299" s="29"/>
    </row>
    <row r="300">
      <c r="G300" s="29"/>
    </row>
    <row r="301">
      <c r="G301" s="29"/>
    </row>
    <row r="302">
      <c r="G302" s="29"/>
    </row>
    <row r="303">
      <c r="G303" s="29"/>
    </row>
    <row r="304">
      <c r="G304" s="29"/>
    </row>
    <row r="305">
      <c r="G305" s="29"/>
    </row>
    <row r="306">
      <c r="G306" s="29"/>
    </row>
    <row r="307">
      <c r="G307" s="29"/>
    </row>
    <row r="308">
      <c r="G308" s="29"/>
    </row>
    <row r="309">
      <c r="G309" s="29"/>
    </row>
    <row r="310">
      <c r="G310" s="29"/>
    </row>
    <row r="311">
      <c r="G311" s="29"/>
    </row>
    <row r="312">
      <c r="G312" s="29"/>
    </row>
    <row r="313">
      <c r="G313" s="29"/>
    </row>
    <row r="314">
      <c r="G314" s="29"/>
    </row>
    <row r="315">
      <c r="G315" s="29"/>
    </row>
    <row r="316">
      <c r="G316" s="29"/>
    </row>
    <row r="317">
      <c r="G317" s="29"/>
    </row>
    <row r="318">
      <c r="G318" s="29"/>
    </row>
    <row r="319">
      <c r="G319" s="29"/>
    </row>
    <row r="320">
      <c r="G320" s="29"/>
    </row>
    <row r="321">
      <c r="G321" s="29"/>
    </row>
    <row r="322">
      <c r="G322" s="29"/>
    </row>
    <row r="323">
      <c r="G323" s="29"/>
    </row>
    <row r="324">
      <c r="G324" s="29"/>
    </row>
    <row r="325">
      <c r="G325" s="29"/>
    </row>
    <row r="326">
      <c r="G326" s="29"/>
    </row>
    <row r="327">
      <c r="G327" s="29"/>
    </row>
    <row r="328">
      <c r="G328" s="29"/>
    </row>
    <row r="329">
      <c r="G329" s="29"/>
    </row>
    <row r="330">
      <c r="G330" s="29"/>
    </row>
    <row r="331">
      <c r="G331" s="29"/>
    </row>
    <row r="332">
      <c r="G332" s="29"/>
    </row>
    <row r="333">
      <c r="G333" s="29"/>
    </row>
    <row r="334">
      <c r="G334" s="29"/>
    </row>
    <row r="335">
      <c r="G335" s="29"/>
    </row>
    <row r="336">
      <c r="G336" s="29"/>
    </row>
    <row r="337">
      <c r="G337" s="29"/>
    </row>
    <row r="338">
      <c r="G338" s="29"/>
    </row>
    <row r="339">
      <c r="G339" s="29"/>
    </row>
    <row r="340">
      <c r="G340" s="29"/>
    </row>
    <row r="341">
      <c r="G341" s="29"/>
    </row>
    <row r="342">
      <c r="G342" s="29"/>
    </row>
    <row r="343">
      <c r="G343" s="29"/>
    </row>
    <row r="344">
      <c r="G344" s="29"/>
    </row>
    <row r="345">
      <c r="G345" s="29"/>
    </row>
    <row r="346">
      <c r="G346" s="29"/>
    </row>
    <row r="347">
      <c r="G347" s="29"/>
    </row>
    <row r="348">
      <c r="G348" s="29"/>
    </row>
    <row r="349">
      <c r="G349" s="29"/>
    </row>
    <row r="350">
      <c r="G350" s="29"/>
    </row>
    <row r="351">
      <c r="G351" s="29"/>
    </row>
    <row r="352">
      <c r="G352" s="29"/>
    </row>
    <row r="353">
      <c r="G353" s="29"/>
    </row>
    <row r="354">
      <c r="G354" s="29"/>
    </row>
    <row r="355">
      <c r="G355" s="29"/>
    </row>
    <row r="356">
      <c r="G356" s="29"/>
    </row>
    <row r="357">
      <c r="G357" s="29"/>
    </row>
    <row r="358">
      <c r="G358" s="29"/>
    </row>
    <row r="359">
      <c r="G359" s="29"/>
    </row>
    <row r="360">
      <c r="G360" s="29"/>
    </row>
    <row r="361">
      <c r="G361" s="29"/>
    </row>
    <row r="362">
      <c r="G362" s="29"/>
    </row>
    <row r="363">
      <c r="G363" s="29"/>
    </row>
    <row r="364">
      <c r="G364" s="29"/>
    </row>
    <row r="365">
      <c r="G365" s="29"/>
    </row>
    <row r="366">
      <c r="G366" s="29"/>
    </row>
    <row r="367">
      <c r="G367" s="29"/>
    </row>
    <row r="368">
      <c r="G368" s="29"/>
    </row>
    <row r="369">
      <c r="G369" s="29"/>
    </row>
    <row r="370">
      <c r="G370" s="29"/>
    </row>
    <row r="371">
      <c r="G371" s="29"/>
    </row>
    <row r="372">
      <c r="G372" s="29"/>
    </row>
    <row r="373">
      <c r="G373" s="29"/>
    </row>
    <row r="374">
      <c r="G374" s="29"/>
    </row>
    <row r="375">
      <c r="G375" s="29"/>
    </row>
    <row r="376">
      <c r="G376" s="29"/>
    </row>
    <row r="377">
      <c r="G377" s="29"/>
    </row>
    <row r="378">
      <c r="G378" s="29"/>
    </row>
    <row r="379">
      <c r="G379" s="29"/>
    </row>
    <row r="380">
      <c r="G380" s="29"/>
    </row>
    <row r="381">
      <c r="G381" s="29"/>
    </row>
    <row r="382">
      <c r="G382" s="29"/>
    </row>
    <row r="383">
      <c r="G383" s="29"/>
    </row>
    <row r="384">
      <c r="G384" s="29"/>
    </row>
    <row r="385">
      <c r="G385" s="29"/>
    </row>
    <row r="386">
      <c r="G386" s="29"/>
    </row>
    <row r="387">
      <c r="G387" s="29"/>
    </row>
    <row r="388">
      <c r="G388" s="29"/>
    </row>
    <row r="389">
      <c r="G389" s="29"/>
    </row>
    <row r="390">
      <c r="G390" s="29"/>
    </row>
    <row r="391">
      <c r="G391" s="29"/>
    </row>
    <row r="392">
      <c r="G392" s="29"/>
    </row>
    <row r="393">
      <c r="G393" s="29"/>
    </row>
    <row r="394">
      <c r="G394" s="29"/>
    </row>
    <row r="395">
      <c r="G395" s="29"/>
    </row>
    <row r="396">
      <c r="G396" s="29"/>
    </row>
    <row r="397">
      <c r="G397" s="29"/>
    </row>
    <row r="398">
      <c r="G398" s="29"/>
    </row>
    <row r="399">
      <c r="G399" s="29"/>
    </row>
    <row r="400">
      <c r="G400" s="29"/>
    </row>
    <row r="401">
      <c r="G401" s="29"/>
    </row>
    <row r="402">
      <c r="G402" s="29"/>
    </row>
    <row r="403">
      <c r="G403" s="29"/>
    </row>
    <row r="404">
      <c r="G404" s="29"/>
    </row>
    <row r="405">
      <c r="G405" s="29"/>
    </row>
    <row r="406">
      <c r="G406" s="29"/>
    </row>
    <row r="407">
      <c r="G407" s="29"/>
    </row>
    <row r="408">
      <c r="G408" s="29"/>
    </row>
    <row r="409">
      <c r="G409" s="29"/>
    </row>
    <row r="410">
      <c r="G410" s="29"/>
    </row>
    <row r="411">
      <c r="G411" s="29"/>
    </row>
    <row r="412">
      <c r="G412" s="29"/>
    </row>
    <row r="413">
      <c r="G413" s="29"/>
    </row>
    <row r="414">
      <c r="G414" s="29"/>
    </row>
    <row r="415">
      <c r="G415" s="29"/>
    </row>
    <row r="416">
      <c r="G416" s="29"/>
    </row>
    <row r="417">
      <c r="G417" s="29"/>
    </row>
    <row r="418">
      <c r="G418" s="29"/>
    </row>
    <row r="419">
      <c r="G419" s="29"/>
    </row>
    <row r="420">
      <c r="G420" s="29"/>
    </row>
    <row r="421">
      <c r="G421" s="29"/>
    </row>
    <row r="422">
      <c r="G422" s="29"/>
    </row>
    <row r="423">
      <c r="G423" s="29"/>
    </row>
    <row r="424">
      <c r="G424" s="29"/>
    </row>
    <row r="425">
      <c r="G425" s="29"/>
    </row>
    <row r="426">
      <c r="G426" s="29"/>
    </row>
    <row r="427">
      <c r="G427" s="29"/>
    </row>
    <row r="428">
      <c r="G428" s="29"/>
    </row>
    <row r="429">
      <c r="G429" s="29"/>
    </row>
    <row r="430">
      <c r="G430" s="29"/>
    </row>
    <row r="431">
      <c r="G431" s="29"/>
    </row>
    <row r="432">
      <c r="G432" s="29"/>
    </row>
    <row r="433">
      <c r="G433" s="29"/>
    </row>
    <row r="434">
      <c r="G434" s="29"/>
    </row>
    <row r="435">
      <c r="G435" s="29"/>
    </row>
    <row r="436">
      <c r="G436" s="29"/>
    </row>
    <row r="437">
      <c r="G437" s="29"/>
    </row>
    <row r="438">
      <c r="G438" s="29"/>
    </row>
    <row r="439">
      <c r="G439" s="29"/>
    </row>
    <row r="440">
      <c r="G440" s="29"/>
    </row>
    <row r="441">
      <c r="G441" s="29"/>
    </row>
    <row r="442">
      <c r="G442" s="29"/>
    </row>
    <row r="443">
      <c r="G443" s="29"/>
    </row>
    <row r="444">
      <c r="G444" s="29"/>
    </row>
    <row r="445">
      <c r="G445" s="29"/>
    </row>
    <row r="446">
      <c r="G446" s="29"/>
    </row>
    <row r="447">
      <c r="G447" s="29"/>
    </row>
    <row r="448">
      <c r="G448" s="29"/>
    </row>
    <row r="449">
      <c r="G449" s="29"/>
    </row>
    <row r="450">
      <c r="G450" s="29"/>
    </row>
    <row r="451">
      <c r="G451" s="29"/>
    </row>
    <row r="452">
      <c r="G452" s="29"/>
    </row>
    <row r="453">
      <c r="G453" s="29"/>
    </row>
    <row r="454">
      <c r="G454" s="29"/>
    </row>
    <row r="455">
      <c r="G455" s="29"/>
    </row>
    <row r="456">
      <c r="G456" s="29"/>
    </row>
    <row r="457">
      <c r="G457" s="29"/>
    </row>
    <row r="458">
      <c r="G458" s="29"/>
    </row>
    <row r="459">
      <c r="G459" s="29"/>
    </row>
    <row r="460">
      <c r="G460" s="29"/>
    </row>
    <row r="461">
      <c r="G461" s="29"/>
    </row>
    <row r="462">
      <c r="G462" s="29"/>
    </row>
    <row r="463">
      <c r="G463" s="29"/>
    </row>
    <row r="464">
      <c r="G464" s="29"/>
    </row>
    <row r="465">
      <c r="G465" s="29"/>
    </row>
    <row r="466">
      <c r="G466" s="29"/>
    </row>
    <row r="467">
      <c r="G467" s="29"/>
    </row>
    <row r="468">
      <c r="G468" s="29"/>
    </row>
    <row r="469">
      <c r="G469" s="29"/>
    </row>
    <row r="470">
      <c r="G470" s="29"/>
    </row>
    <row r="471">
      <c r="G471" s="29"/>
    </row>
    <row r="472">
      <c r="G472" s="29"/>
    </row>
    <row r="473">
      <c r="G473" s="29"/>
    </row>
    <row r="474">
      <c r="G474" s="29"/>
    </row>
    <row r="475">
      <c r="G475" s="29"/>
    </row>
    <row r="476">
      <c r="G476" s="29"/>
    </row>
    <row r="477">
      <c r="G477" s="29"/>
    </row>
    <row r="478">
      <c r="G478" s="29"/>
    </row>
    <row r="479">
      <c r="G479" s="29"/>
    </row>
    <row r="480">
      <c r="G480" s="29"/>
    </row>
    <row r="481">
      <c r="G481" s="29"/>
    </row>
    <row r="482">
      <c r="G482" s="29"/>
    </row>
    <row r="483">
      <c r="G483" s="29"/>
    </row>
    <row r="484">
      <c r="G484" s="29"/>
    </row>
    <row r="485">
      <c r="G485" s="29"/>
    </row>
    <row r="486">
      <c r="G486" s="29"/>
    </row>
    <row r="487">
      <c r="G487" s="29"/>
    </row>
    <row r="488">
      <c r="G488" s="29"/>
    </row>
    <row r="489">
      <c r="G489" s="29"/>
    </row>
    <row r="490">
      <c r="G490" s="29"/>
    </row>
    <row r="491">
      <c r="G491" s="29"/>
    </row>
    <row r="492">
      <c r="G492" s="29"/>
    </row>
    <row r="493">
      <c r="G493" s="29"/>
    </row>
    <row r="494">
      <c r="G494" s="29"/>
    </row>
    <row r="495">
      <c r="G495" s="29"/>
    </row>
    <row r="496">
      <c r="G496" s="29"/>
    </row>
    <row r="497">
      <c r="G497" s="29"/>
    </row>
    <row r="498">
      <c r="G498" s="29"/>
    </row>
    <row r="499">
      <c r="G499" s="29"/>
    </row>
    <row r="500">
      <c r="G500" s="29"/>
    </row>
    <row r="501">
      <c r="G501" s="29"/>
    </row>
    <row r="502">
      <c r="G502" s="29"/>
    </row>
    <row r="503">
      <c r="G503" s="29"/>
    </row>
    <row r="504">
      <c r="G504" s="29"/>
    </row>
    <row r="505">
      <c r="G505" s="29"/>
    </row>
    <row r="506">
      <c r="G506" s="29"/>
    </row>
    <row r="507">
      <c r="G507" s="29"/>
    </row>
    <row r="508">
      <c r="G508" s="29"/>
    </row>
    <row r="509">
      <c r="G509" s="29"/>
    </row>
    <row r="510">
      <c r="G510" s="29"/>
    </row>
    <row r="511">
      <c r="G511" s="29"/>
    </row>
    <row r="512">
      <c r="G512" s="29"/>
    </row>
    <row r="513">
      <c r="G513" s="29"/>
    </row>
    <row r="514">
      <c r="G514" s="29"/>
    </row>
    <row r="515">
      <c r="G515" s="29"/>
    </row>
    <row r="516">
      <c r="G516" s="29"/>
    </row>
    <row r="517">
      <c r="G517" s="29"/>
    </row>
    <row r="518">
      <c r="G518" s="29"/>
    </row>
    <row r="519">
      <c r="G519" s="29"/>
    </row>
    <row r="520">
      <c r="G520" s="29"/>
    </row>
    <row r="521">
      <c r="G521" s="29"/>
    </row>
    <row r="522">
      <c r="G522" s="29"/>
    </row>
    <row r="523">
      <c r="G523" s="29"/>
    </row>
    <row r="524">
      <c r="G524" s="29"/>
    </row>
    <row r="525">
      <c r="G525" s="29"/>
    </row>
    <row r="526">
      <c r="G526" s="29"/>
    </row>
    <row r="527">
      <c r="G527" s="29"/>
    </row>
    <row r="528">
      <c r="G528" s="29"/>
    </row>
    <row r="529">
      <c r="G529" s="29"/>
    </row>
    <row r="530">
      <c r="G530" s="29"/>
    </row>
    <row r="531">
      <c r="G531" s="29"/>
    </row>
    <row r="532">
      <c r="G532" s="29"/>
    </row>
    <row r="533">
      <c r="G533" s="29"/>
    </row>
    <row r="534">
      <c r="G534" s="29"/>
    </row>
    <row r="535">
      <c r="G535" s="29"/>
    </row>
    <row r="536">
      <c r="G536" s="29"/>
    </row>
    <row r="537">
      <c r="G537" s="29"/>
    </row>
    <row r="538">
      <c r="G538" s="29"/>
    </row>
    <row r="539">
      <c r="G539" s="29"/>
    </row>
    <row r="540">
      <c r="G540" s="29"/>
    </row>
    <row r="541">
      <c r="G541" s="29"/>
    </row>
    <row r="542">
      <c r="G542" s="29"/>
    </row>
    <row r="543">
      <c r="G543" s="29"/>
    </row>
    <row r="544">
      <c r="G544" s="29"/>
    </row>
    <row r="545">
      <c r="G545" s="29"/>
    </row>
    <row r="546">
      <c r="G546" s="29"/>
    </row>
    <row r="547">
      <c r="G547" s="29"/>
    </row>
    <row r="548">
      <c r="G548" s="29"/>
    </row>
    <row r="549">
      <c r="G549" s="29"/>
    </row>
    <row r="550">
      <c r="G550" s="29"/>
    </row>
    <row r="551">
      <c r="G551" s="29"/>
    </row>
    <row r="552">
      <c r="G552" s="29"/>
    </row>
    <row r="553">
      <c r="G553" s="29"/>
    </row>
    <row r="554">
      <c r="G554" s="29"/>
    </row>
    <row r="555">
      <c r="G555" s="29"/>
    </row>
    <row r="556">
      <c r="G556" s="29"/>
    </row>
    <row r="557">
      <c r="G557" s="29"/>
    </row>
    <row r="558">
      <c r="G558" s="29"/>
    </row>
    <row r="559">
      <c r="G559" s="29"/>
    </row>
    <row r="560">
      <c r="G560" s="29"/>
    </row>
    <row r="561">
      <c r="G561" s="29"/>
    </row>
    <row r="562">
      <c r="G562" s="29"/>
    </row>
    <row r="563">
      <c r="G563" s="29"/>
    </row>
    <row r="564">
      <c r="G564" s="29"/>
    </row>
    <row r="565">
      <c r="G565" s="29"/>
    </row>
    <row r="566">
      <c r="G566" s="29"/>
    </row>
    <row r="567">
      <c r="G567" s="29"/>
    </row>
    <row r="568">
      <c r="G568" s="29"/>
    </row>
    <row r="569">
      <c r="G569" s="29"/>
    </row>
    <row r="570">
      <c r="G570" s="29"/>
    </row>
    <row r="571">
      <c r="G571" s="29"/>
    </row>
    <row r="572">
      <c r="G572" s="29"/>
    </row>
    <row r="573">
      <c r="G573" s="29"/>
    </row>
    <row r="574">
      <c r="G574" s="29"/>
    </row>
    <row r="575">
      <c r="G575" s="29"/>
    </row>
    <row r="576">
      <c r="G576" s="29"/>
    </row>
    <row r="577">
      <c r="G577" s="29"/>
    </row>
    <row r="578">
      <c r="G578" s="29"/>
    </row>
    <row r="579">
      <c r="G579" s="29"/>
    </row>
    <row r="580">
      <c r="G580" s="29"/>
    </row>
    <row r="581">
      <c r="G581" s="29"/>
    </row>
    <row r="582">
      <c r="G582" s="29"/>
    </row>
    <row r="583">
      <c r="G583" s="29"/>
    </row>
    <row r="584">
      <c r="G584" s="29"/>
    </row>
    <row r="585">
      <c r="G585" s="29"/>
    </row>
    <row r="586">
      <c r="G586" s="29"/>
    </row>
    <row r="587">
      <c r="G587" s="29"/>
    </row>
    <row r="588">
      <c r="G588" s="29"/>
    </row>
    <row r="589">
      <c r="G589" s="29"/>
    </row>
    <row r="590">
      <c r="G590" s="29"/>
    </row>
    <row r="591">
      <c r="G591" s="29"/>
    </row>
    <row r="592">
      <c r="G592" s="29"/>
    </row>
    <row r="593">
      <c r="G593" s="29"/>
    </row>
    <row r="594">
      <c r="G594" s="29"/>
    </row>
    <row r="595">
      <c r="G595" s="29"/>
    </row>
    <row r="596">
      <c r="G596" s="29"/>
    </row>
    <row r="597">
      <c r="G597" s="29"/>
    </row>
    <row r="598">
      <c r="G598" s="29"/>
    </row>
    <row r="599">
      <c r="G599" s="29"/>
    </row>
    <row r="600">
      <c r="G600" s="29"/>
    </row>
    <row r="601">
      <c r="G601" s="29"/>
    </row>
    <row r="602">
      <c r="G602" s="29"/>
    </row>
    <row r="603">
      <c r="G603" s="29"/>
    </row>
    <row r="604">
      <c r="G604" s="29"/>
    </row>
    <row r="605">
      <c r="G605" s="29"/>
    </row>
    <row r="606">
      <c r="G606" s="29"/>
    </row>
    <row r="607">
      <c r="G607" s="29"/>
    </row>
    <row r="608">
      <c r="G608" s="29"/>
    </row>
    <row r="609">
      <c r="G609" s="29"/>
    </row>
    <row r="610">
      <c r="G610" s="29"/>
    </row>
    <row r="611">
      <c r="G611" s="29"/>
    </row>
    <row r="612">
      <c r="G612" s="29"/>
    </row>
    <row r="613">
      <c r="G613" s="29"/>
    </row>
    <row r="614">
      <c r="G614" s="29"/>
    </row>
    <row r="615">
      <c r="G615" s="29"/>
    </row>
    <row r="616">
      <c r="G616" s="29"/>
    </row>
    <row r="617">
      <c r="G617" s="29"/>
    </row>
    <row r="618">
      <c r="G618" s="29"/>
    </row>
    <row r="619">
      <c r="G619" s="29"/>
    </row>
    <row r="620">
      <c r="G620" s="29"/>
    </row>
    <row r="621">
      <c r="G621" s="29"/>
    </row>
    <row r="622">
      <c r="G622" s="29"/>
    </row>
    <row r="623">
      <c r="G623" s="29"/>
    </row>
    <row r="624">
      <c r="G624" s="29"/>
    </row>
    <row r="625">
      <c r="G625" s="29"/>
    </row>
    <row r="626">
      <c r="G626" s="29"/>
    </row>
    <row r="627">
      <c r="G627" s="29"/>
    </row>
    <row r="628">
      <c r="G628" s="29"/>
    </row>
    <row r="629">
      <c r="G629" s="29"/>
    </row>
    <row r="630">
      <c r="G630" s="29"/>
    </row>
    <row r="631">
      <c r="G631" s="29"/>
    </row>
    <row r="632">
      <c r="G632" s="29"/>
    </row>
    <row r="633">
      <c r="G633" s="29"/>
    </row>
    <row r="634">
      <c r="G634" s="29"/>
    </row>
    <row r="635">
      <c r="G635" s="29"/>
    </row>
    <row r="636">
      <c r="G636" s="29"/>
    </row>
    <row r="637">
      <c r="G637" s="29"/>
    </row>
    <row r="638">
      <c r="G638" s="29"/>
    </row>
    <row r="639">
      <c r="G639" s="29"/>
    </row>
    <row r="640">
      <c r="G640" s="29"/>
    </row>
    <row r="641">
      <c r="G641" s="29"/>
    </row>
    <row r="642">
      <c r="G642" s="29"/>
    </row>
    <row r="643">
      <c r="G643" s="29"/>
    </row>
    <row r="644">
      <c r="G644" s="29"/>
    </row>
    <row r="645">
      <c r="G645" s="29"/>
    </row>
    <row r="646">
      <c r="G646" s="29"/>
    </row>
    <row r="647">
      <c r="G647" s="29"/>
    </row>
    <row r="648">
      <c r="G648" s="29"/>
    </row>
    <row r="649">
      <c r="G649" s="29"/>
    </row>
    <row r="650">
      <c r="G650" s="29"/>
    </row>
    <row r="651">
      <c r="G651" s="29"/>
    </row>
    <row r="652">
      <c r="G652" s="29"/>
    </row>
    <row r="653">
      <c r="G653" s="29"/>
    </row>
    <row r="654">
      <c r="G654" s="29"/>
    </row>
    <row r="655">
      <c r="G655" s="29"/>
    </row>
    <row r="656">
      <c r="G656" s="29"/>
    </row>
    <row r="657">
      <c r="G657" s="29"/>
    </row>
    <row r="658">
      <c r="G658" s="29"/>
    </row>
    <row r="659">
      <c r="G659" s="29"/>
    </row>
    <row r="660">
      <c r="G660" s="29"/>
    </row>
    <row r="661">
      <c r="G661" s="29"/>
    </row>
    <row r="662">
      <c r="G662" s="29"/>
    </row>
    <row r="663">
      <c r="G663" s="29"/>
    </row>
    <row r="664">
      <c r="G664" s="29"/>
    </row>
    <row r="665">
      <c r="G665" s="29"/>
    </row>
    <row r="666">
      <c r="G666" s="29"/>
    </row>
    <row r="667">
      <c r="G667" s="29"/>
    </row>
    <row r="668">
      <c r="G668" s="29"/>
    </row>
    <row r="669">
      <c r="G669" s="29"/>
    </row>
    <row r="670">
      <c r="G670" s="29"/>
    </row>
    <row r="671">
      <c r="G671" s="29"/>
    </row>
    <row r="672">
      <c r="G672" s="29"/>
    </row>
    <row r="673">
      <c r="G673" s="29"/>
    </row>
    <row r="674">
      <c r="G674" s="29"/>
    </row>
    <row r="675">
      <c r="G675" s="29"/>
    </row>
    <row r="676">
      <c r="G676" s="29"/>
    </row>
    <row r="677">
      <c r="G677" s="29"/>
    </row>
    <row r="678">
      <c r="G678" s="29"/>
    </row>
    <row r="679">
      <c r="G679" s="29"/>
    </row>
    <row r="680">
      <c r="G680" s="29"/>
    </row>
    <row r="681">
      <c r="G681" s="29"/>
    </row>
    <row r="682">
      <c r="G682" s="29"/>
    </row>
    <row r="683">
      <c r="G683" s="29"/>
    </row>
    <row r="684">
      <c r="G684" s="29"/>
    </row>
    <row r="685">
      <c r="G685" s="29"/>
    </row>
    <row r="686">
      <c r="G686" s="29"/>
    </row>
    <row r="687">
      <c r="G687" s="29"/>
    </row>
    <row r="688">
      <c r="G688" s="29"/>
    </row>
    <row r="689">
      <c r="G689" s="29"/>
    </row>
    <row r="690">
      <c r="G690" s="29"/>
    </row>
    <row r="691">
      <c r="G691" s="29"/>
    </row>
    <row r="692">
      <c r="G692" s="29"/>
    </row>
    <row r="693">
      <c r="G693" s="29"/>
    </row>
    <row r="694">
      <c r="G694" s="29"/>
    </row>
    <row r="695">
      <c r="G695" s="29"/>
    </row>
    <row r="696">
      <c r="G696" s="29"/>
    </row>
    <row r="697">
      <c r="G697" s="29"/>
    </row>
    <row r="698">
      <c r="G698" s="29"/>
    </row>
    <row r="699">
      <c r="G699" s="29"/>
    </row>
    <row r="700">
      <c r="G700" s="29"/>
    </row>
    <row r="701">
      <c r="G701" s="29"/>
    </row>
    <row r="702">
      <c r="G702" s="29"/>
    </row>
    <row r="703">
      <c r="G703" s="29"/>
    </row>
    <row r="704">
      <c r="G704" s="29"/>
    </row>
    <row r="705">
      <c r="G705" s="29"/>
    </row>
    <row r="706">
      <c r="G706" s="29"/>
    </row>
    <row r="707">
      <c r="G707" s="29"/>
    </row>
    <row r="708">
      <c r="G708" s="29"/>
    </row>
    <row r="709">
      <c r="G709" s="29"/>
    </row>
    <row r="710">
      <c r="G710" s="29"/>
    </row>
    <row r="711">
      <c r="G711" s="29"/>
    </row>
    <row r="712">
      <c r="G712" s="29"/>
    </row>
    <row r="713">
      <c r="G713" s="29"/>
    </row>
    <row r="714">
      <c r="G714" s="29"/>
    </row>
    <row r="715">
      <c r="G715" s="29"/>
    </row>
    <row r="716">
      <c r="G716" s="29"/>
    </row>
    <row r="717">
      <c r="G717" s="29"/>
    </row>
    <row r="718">
      <c r="G718" s="29"/>
    </row>
    <row r="719">
      <c r="G719" s="29"/>
    </row>
    <row r="720">
      <c r="G720" s="29"/>
    </row>
    <row r="721">
      <c r="G721" s="29"/>
    </row>
    <row r="722">
      <c r="G722" s="29"/>
    </row>
    <row r="723">
      <c r="G723" s="29"/>
    </row>
    <row r="724">
      <c r="G724" s="29"/>
    </row>
    <row r="725">
      <c r="G725" s="29"/>
    </row>
    <row r="726">
      <c r="G726" s="29"/>
    </row>
    <row r="727">
      <c r="G727" s="29"/>
    </row>
    <row r="728">
      <c r="G728" s="29"/>
    </row>
    <row r="729">
      <c r="G729" s="29"/>
    </row>
    <row r="730">
      <c r="G730" s="29"/>
    </row>
    <row r="731">
      <c r="G731" s="29"/>
    </row>
    <row r="732">
      <c r="G732" s="29"/>
    </row>
    <row r="733">
      <c r="G733" s="29"/>
    </row>
    <row r="734">
      <c r="G734" s="29"/>
    </row>
    <row r="735">
      <c r="G735" s="29"/>
    </row>
    <row r="736">
      <c r="G736" s="29"/>
    </row>
    <row r="737">
      <c r="G737" s="29"/>
    </row>
    <row r="738">
      <c r="G738" s="29"/>
    </row>
    <row r="739">
      <c r="G739" s="29"/>
    </row>
    <row r="740">
      <c r="G740" s="29"/>
    </row>
    <row r="741">
      <c r="G741" s="29"/>
    </row>
    <row r="742">
      <c r="G742" s="29"/>
    </row>
    <row r="743">
      <c r="G743" s="29"/>
    </row>
    <row r="744">
      <c r="G744" s="29"/>
    </row>
    <row r="745">
      <c r="G745" s="29"/>
    </row>
    <row r="746">
      <c r="G746" s="29"/>
    </row>
    <row r="747">
      <c r="G747" s="29"/>
    </row>
    <row r="748">
      <c r="G748" s="29"/>
    </row>
    <row r="749">
      <c r="G749" s="29"/>
    </row>
    <row r="750">
      <c r="G750" s="29"/>
    </row>
    <row r="751">
      <c r="G751" s="29"/>
    </row>
    <row r="752">
      <c r="G752" s="29"/>
    </row>
    <row r="753">
      <c r="G753" s="29"/>
    </row>
    <row r="754">
      <c r="G754" s="29"/>
    </row>
    <row r="755">
      <c r="G755" s="29"/>
    </row>
    <row r="756">
      <c r="G756" s="29"/>
    </row>
    <row r="757">
      <c r="G757" s="29"/>
    </row>
    <row r="758">
      <c r="G758" s="29"/>
    </row>
    <row r="759">
      <c r="G759" s="29"/>
    </row>
    <row r="760">
      <c r="G760" s="29"/>
    </row>
    <row r="761">
      <c r="G761" s="29"/>
    </row>
    <row r="762">
      <c r="G762" s="29"/>
    </row>
    <row r="763">
      <c r="G763" s="29"/>
    </row>
    <row r="764">
      <c r="G764" s="29"/>
    </row>
    <row r="765">
      <c r="G765" s="29"/>
    </row>
    <row r="766">
      <c r="G766" s="29"/>
    </row>
    <row r="767">
      <c r="G767" s="29"/>
    </row>
    <row r="768">
      <c r="G768" s="29"/>
    </row>
    <row r="769">
      <c r="G769" s="29"/>
    </row>
    <row r="770">
      <c r="G770" s="29"/>
    </row>
    <row r="771">
      <c r="G771" s="29"/>
    </row>
    <row r="772">
      <c r="G772" s="29"/>
    </row>
    <row r="773">
      <c r="G773" s="29"/>
    </row>
    <row r="774">
      <c r="G774" s="29"/>
    </row>
    <row r="775">
      <c r="G775" s="29"/>
    </row>
    <row r="776">
      <c r="G776" s="29"/>
    </row>
    <row r="777">
      <c r="G777" s="29"/>
    </row>
    <row r="778">
      <c r="G778" s="29"/>
    </row>
    <row r="779">
      <c r="G779" s="29"/>
    </row>
    <row r="780">
      <c r="G780" s="29"/>
    </row>
    <row r="781">
      <c r="G781" s="29"/>
    </row>
    <row r="782">
      <c r="G782" s="29"/>
    </row>
    <row r="783">
      <c r="G783" s="29"/>
    </row>
    <row r="784">
      <c r="G784" s="29"/>
    </row>
    <row r="785">
      <c r="G785" s="29"/>
    </row>
    <row r="786">
      <c r="G786" s="29"/>
    </row>
    <row r="787">
      <c r="G787" s="29"/>
    </row>
    <row r="788">
      <c r="G788" s="29"/>
    </row>
    <row r="789">
      <c r="G789" s="29"/>
    </row>
    <row r="790">
      <c r="G790" s="29"/>
    </row>
    <row r="791">
      <c r="G791" s="29"/>
    </row>
    <row r="792">
      <c r="G792" s="29"/>
    </row>
    <row r="793">
      <c r="G793" s="29"/>
    </row>
    <row r="794">
      <c r="G794" s="29"/>
    </row>
    <row r="795">
      <c r="G795" s="29"/>
    </row>
    <row r="796">
      <c r="G796" s="29"/>
    </row>
    <row r="797">
      <c r="G797" s="29"/>
    </row>
    <row r="798">
      <c r="G798" s="29"/>
    </row>
    <row r="799">
      <c r="G799" s="29"/>
    </row>
    <row r="800">
      <c r="G800" s="29"/>
    </row>
    <row r="801">
      <c r="G801" s="29"/>
    </row>
    <row r="802">
      <c r="G802" s="29"/>
    </row>
    <row r="803">
      <c r="G803" s="29"/>
    </row>
    <row r="804">
      <c r="G804" s="29"/>
    </row>
    <row r="805">
      <c r="G805" s="29"/>
    </row>
    <row r="806">
      <c r="G806" s="29"/>
    </row>
    <row r="807">
      <c r="G807" s="29"/>
    </row>
    <row r="808">
      <c r="G808" s="29"/>
    </row>
    <row r="809">
      <c r="G809" s="29"/>
    </row>
    <row r="810">
      <c r="G810" s="29"/>
    </row>
    <row r="811">
      <c r="G811" s="29"/>
    </row>
    <row r="812">
      <c r="G812" s="29"/>
    </row>
    <row r="813">
      <c r="G813" s="29"/>
    </row>
    <row r="814">
      <c r="G814" s="29"/>
    </row>
    <row r="815">
      <c r="G815" s="29"/>
    </row>
    <row r="816">
      <c r="G816" s="29"/>
    </row>
    <row r="817">
      <c r="G817" s="29"/>
    </row>
    <row r="818">
      <c r="G818" s="29"/>
    </row>
    <row r="819">
      <c r="G819" s="29"/>
    </row>
    <row r="820">
      <c r="G820" s="29"/>
    </row>
    <row r="821">
      <c r="G821" s="29"/>
    </row>
    <row r="822">
      <c r="G822" s="29"/>
    </row>
    <row r="823">
      <c r="G823" s="29"/>
    </row>
    <row r="824">
      <c r="G824" s="29"/>
    </row>
    <row r="825">
      <c r="G825" s="29"/>
    </row>
    <row r="826">
      <c r="G826" s="29"/>
    </row>
    <row r="827">
      <c r="G827" s="29"/>
    </row>
    <row r="828">
      <c r="G828" s="29"/>
    </row>
    <row r="829">
      <c r="G829" s="29"/>
    </row>
    <row r="830">
      <c r="G830" s="29"/>
    </row>
    <row r="831">
      <c r="G831" s="29"/>
    </row>
    <row r="832">
      <c r="G832" s="29"/>
    </row>
    <row r="833">
      <c r="G833" s="29"/>
    </row>
    <row r="834">
      <c r="G834" s="29"/>
    </row>
    <row r="835">
      <c r="G835" s="29"/>
    </row>
    <row r="836">
      <c r="G836" s="29"/>
    </row>
    <row r="837">
      <c r="G837" s="29"/>
    </row>
    <row r="838">
      <c r="G838" s="29"/>
    </row>
  </sheetData>
  <drawing r:id="rId1"/>
</worksheet>
</file>